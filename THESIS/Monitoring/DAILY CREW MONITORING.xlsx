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ralco-my.sharepoint.com/personal/rbcanaria_meralco_com_ph/Documents/Paranaque CA Files/EAM MONITORING/"/>
    </mc:Choice>
  </mc:AlternateContent>
  <xr:revisionPtr revIDLastSave="2072" documentId="8_{15C24A41-2BDE-439D-8021-BD82E3262AB9}" xr6:coauthVersionLast="47" xr6:coauthVersionMax="47" xr10:uidLastSave="{D8472916-DF53-4DA7-9710-3593B3318F50}"/>
  <bookViews>
    <workbookView xWindow="-110" yWindow="-110" windowWidth="19420" windowHeight="10420" xr2:uid="{6D2E889A-B6E7-4774-AFD1-E7224B349AB7}"/>
  </bookViews>
  <sheets>
    <sheet name="summary" sheetId="1" r:id="rId1"/>
    <sheet name="MAY 2025" sheetId="2" r:id="rId2"/>
    <sheet name="JUNE 2025" sheetId="5" r:id="rId3"/>
    <sheet name="JULY 2025" sheetId="7" r:id="rId4"/>
    <sheet name="AUG 2025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6" i="7" l="1"/>
  <c r="AF16" i="7"/>
  <c r="S47" i="7"/>
  <c r="AE47" i="7"/>
  <c r="Y47" i="7"/>
  <c r="M7" i="7"/>
  <c r="M11" i="7" s="1"/>
  <c r="M47" i="7"/>
  <c r="AF47" i="7"/>
  <c r="F133" i="1"/>
  <c r="F136" i="1"/>
  <c r="F143" i="1"/>
  <c r="F144" i="1"/>
  <c r="F147" i="1"/>
  <c r="F148" i="1"/>
  <c r="F149" i="1"/>
  <c r="F150" i="1"/>
  <c r="F151" i="1"/>
  <c r="F152" i="1"/>
  <c r="F153" i="1"/>
  <c r="F154" i="1"/>
  <c r="F155" i="1"/>
  <c r="F156" i="1"/>
  <c r="F157" i="1"/>
  <c r="E136" i="1"/>
  <c r="E143" i="1"/>
  <c r="E147" i="1"/>
  <c r="E148" i="1"/>
  <c r="E149" i="1"/>
  <c r="E150" i="1"/>
  <c r="E151" i="1"/>
  <c r="E152" i="1"/>
  <c r="E153" i="1"/>
  <c r="E154" i="1"/>
  <c r="E155" i="1"/>
  <c r="E156" i="1"/>
  <c r="E157" i="1"/>
  <c r="D128" i="1"/>
  <c r="D129" i="1"/>
  <c r="D136" i="1"/>
  <c r="D142" i="1"/>
  <c r="D143" i="1"/>
  <c r="D147" i="1"/>
  <c r="D148" i="1"/>
  <c r="D149" i="1"/>
  <c r="D150" i="1"/>
  <c r="D151" i="1"/>
  <c r="D152" i="1"/>
  <c r="D153" i="1"/>
  <c r="D154" i="1"/>
  <c r="D155" i="1"/>
  <c r="D156" i="1"/>
  <c r="D157" i="1"/>
  <c r="C128" i="1"/>
  <c r="C129" i="1"/>
  <c r="C130" i="1"/>
  <c r="C134" i="1"/>
  <c r="C135" i="1"/>
  <c r="C136" i="1"/>
  <c r="C137" i="1"/>
  <c r="C143" i="1"/>
  <c r="C147" i="1"/>
  <c r="C148" i="1"/>
  <c r="C149" i="1"/>
  <c r="C150" i="1"/>
  <c r="C151" i="1"/>
  <c r="C152" i="1"/>
  <c r="C153" i="1"/>
  <c r="C154" i="1"/>
  <c r="C155" i="1"/>
  <c r="C156" i="1"/>
  <c r="C157" i="1"/>
  <c r="B129" i="1"/>
  <c r="B130" i="1"/>
  <c r="B131" i="1"/>
  <c r="B132" i="1"/>
  <c r="B134" i="1"/>
  <c r="B136" i="1"/>
  <c r="B143" i="1"/>
  <c r="B147" i="1"/>
  <c r="B148" i="1"/>
  <c r="B149" i="1"/>
  <c r="B150" i="1"/>
  <c r="B151" i="1"/>
  <c r="B152" i="1"/>
  <c r="B153" i="1"/>
  <c r="B154" i="1"/>
  <c r="B155" i="1"/>
  <c r="B156" i="1"/>
  <c r="B157" i="1"/>
  <c r="C127" i="1"/>
  <c r="B127" i="1"/>
  <c r="E122" i="1"/>
  <c r="D122" i="1"/>
  <c r="C122" i="1"/>
  <c r="B122" i="1"/>
  <c r="F121" i="1"/>
  <c r="F120" i="1"/>
  <c r="F119" i="1"/>
  <c r="F118" i="1"/>
  <c r="F117" i="1"/>
  <c r="G136" i="1"/>
  <c r="G143" i="1"/>
  <c r="G147" i="1"/>
  <c r="G148" i="1"/>
  <c r="G149" i="1"/>
  <c r="G150" i="1"/>
  <c r="G151" i="1"/>
  <c r="G152" i="1"/>
  <c r="G153" i="1"/>
  <c r="G154" i="1"/>
  <c r="G155" i="1"/>
  <c r="G156" i="1"/>
  <c r="G157" i="1"/>
  <c r="O78" i="8"/>
  <c r="AD46" i="8"/>
  <c r="AE46" i="8" s="1"/>
  <c r="X46" i="8"/>
  <c r="Y46" i="8" s="1"/>
  <c r="R46" i="8"/>
  <c r="S46" i="8" s="1"/>
  <c r="L46" i="8"/>
  <c r="F46" i="8"/>
  <c r="AD45" i="8"/>
  <c r="AE45" i="8" s="1"/>
  <c r="X45" i="8"/>
  <c r="Y45" i="8" s="1"/>
  <c r="R45" i="8"/>
  <c r="S45" i="8" s="1"/>
  <c r="L45" i="8"/>
  <c r="M45" i="8" s="1"/>
  <c r="F45" i="8"/>
  <c r="G45" i="8" s="1"/>
  <c r="AF45" i="8" s="1"/>
  <c r="AD44" i="8"/>
  <c r="AE44" i="8" s="1"/>
  <c r="X44" i="8"/>
  <c r="Y44" i="8" s="1"/>
  <c r="R44" i="8"/>
  <c r="S44" i="8" s="1"/>
  <c r="L44" i="8"/>
  <c r="M44" i="8" s="1"/>
  <c r="F44" i="8"/>
  <c r="G44" i="8" s="1"/>
  <c r="AF44" i="8" s="1"/>
  <c r="AD43" i="8"/>
  <c r="AE43" i="8" s="1"/>
  <c r="X43" i="8"/>
  <c r="Y43" i="8" s="1"/>
  <c r="R43" i="8"/>
  <c r="S43" i="8" s="1"/>
  <c r="L43" i="8"/>
  <c r="M43" i="8" s="1"/>
  <c r="F43" i="8"/>
  <c r="G43" i="8" s="1"/>
  <c r="AF43" i="8" s="1"/>
  <c r="AD42" i="8"/>
  <c r="AE42" i="8" s="1"/>
  <c r="X42" i="8"/>
  <c r="Y42" i="8" s="1"/>
  <c r="R42" i="8"/>
  <c r="S42" i="8" s="1"/>
  <c r="L42" i="8"/>
  <c r="M42" i="8" s="1"/>
  <c r="F42" i="8"/>
  <c r="G42" i="8" s="1"/>
  <c r="AF42" i="8" s="1"/>
  <c r="AD41" i="8"/>
  <c r="AE41" i="8" s="1"/>
  <c r="X41" i="8"/>
  <c r="Y41" i="8" s="1"/>
  <c r="R41" i="8"/>
  <c r="S41" i="8" s="1"/>
  <c r="L41" i="8"/>
  <c r="M41" i="8" s="1"/>
  <c r="F41" i="8"/>
  <c r="G41" i="8" s="1"/>
  <c r="AF41" i="8" s="1"/>
  <c r="AD40" i="8"/>
  <c r="AE40" i="8" s="1"/>
  <c r="X40" i="8"/>
  <c r="Y40" i="8" s="1"/>
  <c r="R40" i="8"/>
  <c r="S40" i="8" s="1"/>
  <c r="L40" i="8"/>
  <c r="M40" i="8" s="1"/>
  <c r="F40" i="8"/>
  <c r="G40" i="8" s="1"/>
  <c r="AF40" i="8" s="1"/>
  <c r="AD39" i="8"/>
  <c r="AE39" i="8" s="1"/>
  <c r="X39" i="8"/>
  <c r="Y39" i="8" s="1"/>
  <c r="R39" i="8"/>
  <c r="S39" i="8" s="1"/>
  <c r="L39" i="8"/>
  <c r="M39" i="8" s="1"/>
  <c r="F39" i="8"/>
  <c r="G39" i="8" s="1"/>
  <c r="AF39" i="8" s="1"/>
  <c r="AD38" i="8"/>
  <c r="AE38" i="8" s="1"/>
  <c r="X38" i="8"/>
  <c r="Y38" i="8" s="1"/>
  <c r="R38" i="8"/>
  <c r="S38" i="8" s="1"/>
  <c r="L38" i="8"/>
  <c r="M38" i="8" s="1"/>
  <c r="F38" i="8"/>
  <c r="G38" i="8" s="1"/>
  <c r="AF38" i="8" s="1"/>
  <c r="AD37" i="8"/>
  <c r="AE37" i="8" s="1"/>
  <c r="X37" i="8"/>
  <c r="Y37" i="8" s="1"/>
  <c r="R37" i="8"/>
  <c r="S37" i="8" s="1"/>
  <c r="L37" i="8"/>
  <c r="M37" i="8" s="1"/>
  <c r="F37" i="8"/>
  <c r="G37" i="8" s="1"/>
  <c r="AF37" i="8" s="1"/>
  <c r="AD36" i="8"/>
  <c r="AE36" i="8" s="1"/>
  <c r="X36" i="8"/>
  <c r="Y36" i="8" s="1"/>
  <c r="R36" i="8"/>
  <c r="S36" i="8" s="1"/>
  <c r="L36" i="8"/>
  <c r="M36" i="8" s="1"/>
  <c r="F36" i="8"/>
  <c r="G36" i="8" s="1"/>
  <c r="AF36" i="8" s="1"/>
  <c r="AD35" i="8"/>
  <c r="AE35" i="8" s="1"/>
  <c r="F146" i="1" s="1"/>
  <c r="X35" i="8"/>
  <c r="Y35" i="8" s="1"/>
  <c r="E146" i="1" s="1"/>
  <c r="R35" i="8"/>
  <c r="S35" i="8" s="1"/>
  <c r="D146" i="1" s="1"/>
  <c r="L35" i="8"/>
  <c r="M35" i="8" s="1"/>
  <c r="C146" i="1" s="1"/>
  <c r="F35" i="8"/>
  <c r="G35" i="8" s="1"/>
  <c r="AD34" i="8"/>
  <c r="AE34" i="8" s="1"/>
  <c r="F145" i="1" s="1"/>
  <c r="X34" i="8"/>
  <c r="Y34" i="8" s="1"/>
  <c r="E145" i="1" s="1"/>
  <c r="R34" i="8"/>
  <c r="S34" i="8" s="1"/>
  <c r="D145" i="1" s="1"/>
  <c r="L34" i="8"/>
  <c r="M34" i="8" s="1"/>
  <c r="C145" i="1" s="1"/>
  <c r="F34" i="8"/>
  <c r="G34" i="8" s="1"/>
  <c r="AD33" i="8"/>
  <c r="AE33" i="8" s="1"/>
  <c r="X33" i="8"/>
  <c r="Y33" i="8" s="1"/>
  <c r="E144" i="1" s="1"/>
  <c r="R33" i="8"/>
  <c r="S33" i="8" s="1"/>
  <c r="D144" i="1" s="1"/>
  <c r="L33" i="8"/>
  <c r="M33" i="8" s="1"/>
  <c r="C144" i="1" s="1"/>
  <c r="F33" i="8"/>
  <c r="G33" i="8" s="1"/>
  <c r="AD32" i="8"/>
  <c r="AE32" i="8" s="1"/>
  <c r="X32" i="8"/>
  <c r="Y32" i="8" s="1"/>
  <c r="R32" i="8"/>
  <c r="S32" i="8" s="1"/>
  <c r="L32" i="8"/>
  <c r="M32" i="8" s="1"/>
  <c r="F32" i="8"/>
  <c r="G32" i="8" s="1"/>
  <c r="AF32" i="8" s="1"/>
  <c r="AD31" i="8"/>
  <c r="AE31" i="8" s="1"/>
  <c r="F142" i="1" s="1"/>
  <c r="X31" i="8"/>
  <c r="Y31" i="8" s="1"/>
  <c r="E142" i="1" s="1"/>
  <c r="R31" i="8"/>
  <c r="S31" i="8" s="1"/>
  <c r="L31" i="8"/>
  <c r="M31" i="8" s="1"/>
  <c r="C142" i="1" s="1"/>
  <c r="F31" i="8"/>
  <c r="G31" i="8" s="1"/>
  <c r="AD30" i="8"/>
  <c r="AE30" i="8" s="1"/>
  <c r="F141" i="1" s="1"/>
  <c r="X30" i="8"/>
  <c r="Y30" i="8" s="1"/>
  <c r="E141" i="1" s="1"/>
  <c r="R30" i="8"/>
  <c r="S30" i="8" s="1"/>
  <c r="D141" i="1" s="1"/>
  <c r="L30" i="8"/>
  <c r="M30" i="8" s="1"/>
  <c r="C141" i="1" s="1"/>
  <c r="F30" i="8"/>
  <c r="G30" i="8" s="1"/>
  <c r="AD29" i="8"/>
  <c r="AE29" i="8" s="1"/>
  <c r="F140" i="1" s="1"/>
  <c r="X29" i="8"/>
  <c r="Y29" i="8" s="1"/>
  <c r="E140" i="1" s="1"/>
  <c r="R29" i="8"/>
  <c r="S29" i="8" s="1"/>
  <c r="D140" i="1" s="1"/>
  <c r="L29" i="8"/>
  <c r="M29" i="8" s="1"/>
  <c r="C140" i="1" s="1"/>
  <c r="F29" i="8"/>
  <c r="G29" i="8" s="1"/>
  <c r="AD28" i="8"/>
  <c r="AE28" i="8" s="1"/>
  <c r="F139" i="1" s="1"/>
  <c r="X28" i="8"/>
  <c r="Y28" i="8" s="1"/>
  <c r="E139" i="1" s="1"/>
  <c r="R28" i="8"/>
  <c r="S28" i="8" s="1"/>
  <c r="D139" i="1" s="1"/>
  <c r="L28" i="8"/>
  <c r="M28" i="8" s="1"/>
  <c r="C139" i="1" s="1"/>
  <c r="F28" i="8"/>
  <c r="G28" i="8" s="1"/>
  <c r="AD27" i="8"/>
  <c r="AE27" i="8" s="1"/>
  <c r="F138" i="1" s="1"/>
  <c r="X27" i="8"/>
  <c r="Y27" i="8" s="1"/>
  <c r="E138" i="1" s="1"/>
  <c r="R27" i="8"/>
  <c r="S27" i="8" s="1"/>
  <c r="D138" i="1" s="1"/>
  <c r="L27" i="8"/>
  <c r="M27" i="8" s="1"/>
  <c r="C138" i="1" s="1"/>
  <c r="F27" i="8"/>
  <c r="G27" i="8" s="1"/>
  <c r="AD26" i="8"/>
  <c r="AE26" i="8" s="1"/>
  <c r="F137" i="1" s="1"/>
  <c r="X26" i="8"/>
  <c r="Y26" i="8" s="1"/>
  <c r="R26" i="8"/>
  <c r="S26" i="8" s="1"/>
  <c r="D137" i="1" s="1"/>
  <c r="L26" i="8"/>
  <c r="M26" i="8" s="1"/>
  <c r="F26" i="8"/>
  <c r="G26" i="8" s="1"/>
  <c r="AD25" i="8"/>
  <c r="AE25" i="8" s="1"/>
  <c r="X25" i="8"/>
  <c r="Y25" i="8" s="1"/>
  <c r="R25" i="8"/>
  <c r="S25" i="8" s="1"/>
  <c r="L25" i="8"/>
  <c r="M25" i="8" s="1"/>
  <c r="F25" i="8"/>
  <c r="G25" i="8" s="1"/>
  <c r="AF25" i="8" s="1"/>
  <c r="AD24" i="8"/>
  <c r="AE24" i="8" s="1"/>
  <c r="F135" i="1" s="1"/>
  <c r="X24" i="8"/>
  <c r="Y24" i="8" s="1"/>
  <c r="E135" i="1" s="1"/>
  <c r="R24" i="8"/>
  <c r="S24" i="8" s="1"/>
  <c r="D135" i="1" s="1"/>
  <c r="L24" i="8"/>
  <c r="M24" i="8" s="1"/>
  <c r="F24" i="8"/>
  <c r="G24" i="8" s="1"/>
  <c r="AD23" i="8"/>
  <c r="AE23" i="8" s="1"/>
  <c r="F134" i="1" s="1"/>
  <c r="X23" i="8"/>
  <c r="Y23" i="8" s="1"/>
  <c r="E134" i="1" s="1"/>
  <c r="R23" i="8"/>
  <c r="S23" i="8" s="1"/>
  <c r="D134" i="1" s="1"/>
  <c r="L23" i="8"/>
  <c r="M23" i="8" s="1"/>
  <c r="F23" i="8"/>
  <c r="G23" i="8" s="1"/>
  <c r="AD22" i="8"/>
  <c r="AE22" i="8" s="1"/>
  <c r="X22" i="8"/>
  <c r="Y22" i="8" s="1"/>
  <c r="E133" i="1" s="1"/>
  <c r="R22" i="8"/>
  <c r="S22" i="8" s="1"/>
  <c r="D133" i="1" s="1"/>
  <c r="L22" i="8"/>
  <c r="M22" i="8" s="1"/>
  <c r="C133" i="1" s="1"/>
  <c r="F22" i="8"/>
  <c r="G22" i="8" s="1"/>
  <c r="AD21" i="8"/>
  <c r="AE21" i="8" s="1"/>
  <c r="F132" i="1" s="1"/>
  <c r="X21" i="8"/>
  <c r="Y21" i="8" s="1"/>
  <c r="E132" i="1" s="1"/>
  <c r="R21" i="8"/>
  <c r="S21" i="8" s="1"/>
  <c r="D132" i="1" s="1"/>
  <c r="L21" i="8"/>
  <c r="M21" i="8" s="1"/>
  <c r="C132" i="1" s="1"/>
  <c r="F21" i="8"/>
  <c r="G21" i="8" s="1"/>
  <c r="AD20" i="8"/>
  <c r="AE20" i="8" s="1"/>
  <c r="F131" i="1" s="1"/>
  <c r="X20" i="8"/>
  <c r="Y20" i="8" s="1"/>
  <c r="E131" i="1" s="1"/>
  <c r="R20" i="8"/>
  <c r="S20" i="8" s="1"/>
  <c r="D131" i="1" s="1"/>
  <c r="L20" i="8"/>
  <c r="M20" i="8" s="1"/>
  <c r="C131" i="1" s="1"/>
  <c r="F20" i="8"/>
  <c r="G20" i="8" s="1"/>
  <c r="AD19" i="8"/>
  <c r="AE19" i="8" s="1"/>
  <c r="F130" i="1" s="1"/>
  <c r="X19" i="8"/>
  <c r="Y19" i="8" s="1"/>
  <c r="E130" i="1" s="1"/>
  <c r="R19" i="8"/>
  <c r="S19" i="8" s="1"/>
  <c r="D130" i="1" s="1"/>
  <c r="L19" i="8"/>
  <c r="M19" i="8" s="1"/>
  <c r="F19" i="8"/>
  <c r="G19" i="8" s="1"/>
  <c r="AD18" i="8"/>
  <c r="AE18" i="8" s="1"/>
  <c r="F129" i="1" s="1"/>
  <c r="X18" i="8"/>
  <c r="Y18" i="8" s="1"/>
  <c r="E129" i="1" s="1"/>
  <c r="R18" i="8"/>
  <c r="S18" i="8" s="1"/>
  <c r="L18" i="8"/>
  <c r="M18" i="8" s="1"/>
  <c r="F18" i="8"/>
  <c r="G18" i="8" s="1"/>
  <c r="AF18" i="8" s="1"/>
  <c r="AD17" i="8"/>
  <c r="AE17" i="8" s="1"/>
  <c r="F128" i="1" s="1"/>
  <c r="X17" i="8"/>
  <c r="Y17" i="8" s="1"/>
  <c r="E128" i="1" s="1"/>
  <c r="R17" i="8"/>
  <c r="S17" i="8" s="1"/>
  <c r="L17" i="8"/>
  <c r="M17" i="8" s="1"/>
  <c r="F17" i="8"/>
  <c r="G17" i="8" s="1"/>
  <c r="AD16" i="8"/>
  <c r="AE16" i="8" s="1"/>
  <c r="X16" i="8"/>
  <c r="Y16" i="8" s="1"/>
  <c r="R16" i="8"/>
  <c r="S16" i="8" s="1"/>
  <c r="L16" i="8"/>
  <c r="M16" i="8" s="1"/>
  <c r="F16" i="8"/>
  <c r="G16" i="8" s="1"/>
  <c r="E11" i="8"/>
  <c r="D11" i="8"/>
  <c r="C11" i="8"/>
  <c r="B11" i="8"/>
  <c r="F10" i="8"/>
  <c r="F9" i="8"/>
  <c r="F8" i="8"/>
  <c r="F7" i="8"/>
  <c r="F6" i="8"/>
  <c r="F5" i="8"/>
  <c r="F4" i="8"/>
  <c r="M9" i="5"/>
  <c r="AF35" i="8" l="1"/>
  <c r="B146" i="1"/>
  <c r="G146" i="1" s="1"/>
  <c r="AF34" i="8"/>
  <c r="B145" i="1"/>
  <c r="G145" i="1" s="1"/>
  <c r="AF33" i="8"/>
  <c r="B144" i="1"/>
  <c r="G144" i="1" s="1"/>
  <c r="AF31" i="8"/>
  <c r="B142" i="1"/>
  <c r="G142" i="1"/>
  <c r="AF30" i="8"/>
  <c r="B141" i="1"/>
  <c r="G141" i="1" s="1"/>
  <c r="AF29" i="8"/>
  <c r="B140" i="1"/>
  <c r="G140" i="1" s="1"/>
  <c r="AF28" i="8"/>
  <c r="B139" i="1"/>
  <c r="G139" i="1" s="1"/>
  <c r="AF27" i="8"/>
  <c r="B138" i="1"/>
  <c r="G138" i="1" s="1"/>
  <c r="AF24" i="8"/>
  <c r="B135" i="1"/>
  <c r="G135" i="1" s="1"/>
  <c r="G130" i="1"/>
  <c r="AF19" i="8"/>
  <c r="G131" i="1"/>
  <c r="AF20" i="8"/>
  <c r="G132" i="1"/>
  <c r="AF21" i="8"/>
  <c r="M47" i="8"/>
  <c r="M5" i="8"/>
  <c r="AF22" i="8"/>
  <c r="B133" i="1"/>
  <c r="G133" i="1" s="1"/>
  <c r="M7" i="8"/>
  <c r="AF23" i="8"/>
  <c r="G134" i="1"/>
  <c r="M8" i="8"/>
  <c r="E137" i="1"/>
  <c r="AF26" i="8"/>
  <c r="M6" i="8"/>
  <c r="B137" i="1"/>
  <c r="M4" i="8"/>
  <c r="AF17" i="8"/>
  <c r="B128" i="1"/>
  <c r="G128" i="1"/>
  <c r="G129" i="1"/>
  <c r="AE47" i="8"/>
  <c r="F127" i="1"/>
  <c r="Y47" i="8"/>
  <c r="E127" i="1"/>
  <c r="S47" i="8"/>
  <c r="D127" i="1"/>
  <c r="G127" i="1" s="1"/>
  <c r="F122" i="1"/>
  <c r="G122" i="1" s="1"/>
  <c r="I117" i="1"/>
  <c r="G117" i="1"/>
  <c r="H117" i="1" s="1"/>
  <c r="I118" i="1"/>
  <c r="G118" i="1"/>
  <c r="H118" i="1" s="1"/>
  <c r="I119" i="1"/>
  <c r="G119" i="1"/>
  <c r="H119" i="1" s="1"/>
  <c r="I120" i="1"/>
  <c r="G120" i="1"/>
  <c r="H120" i="1" s="1"/>
  <c r="I121" i="1"/>
  <c r="G121" i="1"/>
  <c r="H121" i="1" s="1"/>
  <c r="F11" i="8"/>
  <c r="G11" i="8" s="1"/>
  <c r="I4" i="8"/>
  <c r="G4" i="8"/>
  <c r="I5" i="8"/>
  <c r="G5" i="8"/>
  <c r="I6" i="8"/>
  <c r="G6" i="8"/>
  <c r="I7" i="8"/>
  <c r="G7" i="8"/>
  <c r="I8" i="8"/>
  <c r="G8" i="8"/>
  <c r="I9" i="8"/>
  <c r="G9" i="8"/>
  <c r="H9" i="8" s="1"/>
  <c r="I10" i="8"/>
  <c r="G10" i="8"/>
  <c r="H10" i="8" s="1"/>
  <c r="G47" i="8"/>
  <c r="AF16" i="8"/>
  <c r="AD17" i="7"/>
  <c r="AE17" i="7" s="1"/>
  <c r="F83" i="1" s="1"/>
  <c r="AD18" i="7"/>
  <c r="AD19" i="7"/>
  <c r="AD20" i="7"/>
  <c r="AD21" i="7"/>
  <c r="AD22" i="7"/>
  <c r="AD23" i="7"/>
  <c r="AD24" i="7"/>
  <c r="AE24" i="7" s="1"/>
  <c r="F90" i="1" s="1"/>
  <c r="AD25" i="7"/>
  <c r="AE25" i="7" s="1"/>
  <c r="F91" i="1" s="1"/>
  <c r="AD26" i="7"/>
  <c r="AD27" i="7"/>
  <c r="AD28" i="7"/>
  <c r="AD29" i="7"/>
  <c r="AD30" i="7"/>
  <c r="AE30" i="7" s="1"/>
  <c r="F96" i="1" s="1"/>
  <c r="AD31" i="7"/>
  <c r="AE31" i="7" s="1"/>
  <c r="F97" i="1" s="1"/>
  <c r="AD32" i="7"/>
  <c r="AE32" i="7" s="1"/>
  <c r="F98" i="1" s="1"/>
  <c r="AD33" i="7"/>
  <c r="AE33" i="7" s="1"/>
  <c r="F99" i="1" s="1"/>
  <c r="AD34" i="7"/>
  <c r="AD35" i="7"/>
  <c r="AD36" i="7"/>
  <c r="AD37" i="7"/>
  <c r="AD38" i="7"/>
  <c r="AD39" i="7"/>
  <c r="AD40" i="7"/>
  <c r="AE40" i="7" s="1"/>
  <c r="F106" i="1" s="1"/>
  <c r="AD41" i="7"/>
  <c r="AE41" i="7" s="1"/>
  <c r="F107" i="1" s="1"/>
  <c r="AD42" i="7"/>
  <c r="AD43" i="7"/>
  <c r="AD44" i="7"/>
  <c r="AD45" i="7"/>
  <c r="AD46" i="7"/>
  <c r="AE46" i="7" s="1"/>
  <c r="F112" i="1" s="1"/>
  <c r="C112" i="1"/>
  <c r="B112" i="1"/>
  <c r="AD16" i="7"/>
  <c r="AE16" i="7" s="1"/>
  <c r="R16" i="7"/>
  <c r="E77" i="1"/>
  <c r="D77" i="1"/>
  <c r="C77" i="1"/>
  <c r="B77" i="1"/>
  <c r="F76" i="1"/>
  <c r="F75" i="1"/>
  <c r="F74" i="1"/>
  <c r="F73" i="1"/>
  <c r="F72" i="1"/>
  <c r="X46" i="7"/>
  <c r="Y46" i="7" s="1"/>
  <c r="E112" i="1" s="1"/>
  <c r="R46" i="7"/>
  <c r="S46" i="7" s="1"/>
  <c r="D112" i="1" s="1"/>
  <c r="L46" i="7"/>
  <c r="F17" i="7"/>
  <c r="F18" i="7"/>
  <c r="F19" i="7"/>
  <c r="G19" i="7" s="1"/>
  <c r="F20" i="7"/>
  <c r="G20" i="7" s="1"/>
  <c r="B86" i="1" s="1"/>
  <c r="F21" i="7"/>
  <c r="F22" i="7"/>
  <c r="F23" i="7"/>
  <c r="F24" i="7"/>
  <c r="G24" i="7" s="1"/>
  <c r="F25" i="7"/>
  <c r="F26" i="7"/>
  <c r="F27" i="7"/>
  <c r="G27" i="7" s="1"/>
  <c r="F28" i="7"/>
  <c r="F29" i="7"/>
  <c r="G29" i="7" s="1"/>
  <c r="B95" i="1" s="1"/>
  <c r="F30" i="7"/>
  <c r="G30" i="7" s="1"/>
  <c r="B96" i="1" s="1"/>
  <c r="F31" i="7"/>
  <c r="F32" i="7"/>
  <c r="G32" i="7" s="1"/>
  <c r="F33" i="7"/>
  <c r="F34" i="7"/>
  <c r="F35" i="7"/>
  <c r="G35" i="7" s="1"/>
  <c r="F36" i="7"/>
  <c r="F37" i="7"/>
  <c r="F38" i="7"/>
  <c r="F39" i="7"/>
  <c r="F40" i="7"/>
  <c r="G40" i="7" s="1"/>
  <c r="F41" i="7"/>
  <c r="F42" i="7"/>
  <c r="F43" i="7"/>
  <c r="G43" i="7" s="1"/>
  <c r="F44" i="7"/>
  <c r="F45" i="7"/>
  <c r="F46" i="7"/>
  <c r="F16" i="7"/>
  <c r="G16" i="7"/>
  <c r="L16" i="7"/>
  <c r="M16" i="7"/>
  <c r="S16" i="7"/>
  <c r="X16" i="7"/>
  <c r="Y16" i="7" s="1"/>
  <c r="G17" i="7"/>
  <c r="B83" i="1" s="1"/>
  <c r="L17" i="7"/>
  <c r="M17" i="7" s="1"/>
  <c r="R17" i="7"/>
  <c r="S17" i="7" s="1"/>
  <c r="D83" i="1" s="1"/>
  <c r="X17" i="7"/>
  <c r="Y17" i="7"/>
  <c r="E83" i="1" s="1"/>
  <c r="G18" i="7"/>
  <c r="B84" i="1" s="1"/>
  <c r="L18" i="7"/>
  <c r="M18" i="7"/>
  <c r="C84" i="1" s="1"/>
  <c r="R18" i="7"/>
  <c r="S18" i="7" s="1"/>
  <c r="X18" i="7"/>
  <c r="Y18" i="7" s="1"/>
  <c r="AE18" i="7"/>
  <c r="F84" i="1" s="1"/>
  <c r="L19" i="7"/>
  <c r="M19" i="7" s="1"/>
  <c r="C85" i="1" s="1"/>
  <c r="R19" i="7"/>
  <c r="S19" i="7" s="1"/>
  <c r="D85" i="1" s="1"/>
  <c r="X19" i="7"/>
  <c r="Y19" i="7"/>
  <c r="E85" i="1" s="1"/>
  <c r="AE19" i="7"/>
  <c r="F85" i="1" s="1"/>
  <c r="L20" i="7"/>
  <c r="M20" i="7" s="1"/>
  <c r="R20" i="7"/>
  <c r="S20" i="7" s="1"/>
  <c r="D86" i="1" s="1"/>
  <c r="X20" i="7"/>
  <c r="Y20" i="7" s="1"/>
  <c r="E86" i="1" s="1"/>
  <c r="AE20" i="7"/>
  <c r="F86" i="1" s="1"/>
  <c r="G21" i="7"/>
  <c r="B87" i="1" s="1"/>
  <c r="L21" i="7"/>
  <c r="M21" i="7" s="1"/>
  <c r="C87" i="1" s="1"/>
  <c r="R21" i="7"/>
  <c r="S21" i="7"/>
  <c r="D87" i="1" s="1"/>
  <c r="X21" i="7"/>
  <c r="Y21" i="7" s="1"/>
  <c r="AE21" i="7"/>
  <c r="F87" i="1" s="1"/>
  <c r="G22" i="7"/>
  <c r="B88" i="1" s="1"/>
  <c r="L22" i="7"/>
  <c r="M22" i="7" s="1"/>
  <c r="R22" i="7"/>
  <c r="S22" i="7" s="1"/>
  <c r="D88" i="1" s="1"/>
  <c r="X22" i="7"/>
  <c r="Y22" i="7"/>
  <c r="E88" i="1" s="1"/>
  <c r="AE22" i="7"/>
  <c r="F88" i="1" s="1"/>
  <c r="G23" i="7"/>
  <c r="B89" i="1" s="1"/>
  <c r="L23" i="7"/>
  <c r="M23" i="7"/>
  <c r="C89" i="1" s="1"/>
  <c r="R23" i="7"/>
  <c r="S23" i="7" s="1"/>
  <c r="D89" i="1" s="1"/>
  <c r="X23" i="7"/>
  <c r="Y23" i="7"/>
  <c r="E89" i="1" s="1"/>
  <c r="AE23" i="7"/>
  <c r="F89" i="1" s="1"/>
  <c r="L24" i="7"/>
  <c r="M24" i="7" s="1"/>
  <c r="C90" i="1" s="1"/>
  <c r="R24" i="7"/>
  <c r="S24" i="7"/>
  <c r="D90" i="1" s="1"/>
  <c r="X24" i="7"/>
  <c r="Y24" i="7" s="1"/>
  <c r="E90" i="1" s="1"/>
  <c r="G25" i="7"/>
  <c r="B91" i="1" s="1"/>
  <c r="L25" i="7"/>
  <c r="M25" i="7" s="1"/>
  <c r="R25" i="7"/>
  <c r="S25" i="7" s="1"/>
  <c r="D91" i="1" s="1"/>
  <c r="X25" i="7"/>
  <c r="Y25" i="7" s="1"/>
  <c r="E91" i="1" s="1"/>
  <c r="G26" i="7"/>
  <c r="B92" i="1" s="1"/>
  <c r="L26" i="7"/>
  <c r="M26" i="7"/>
  <c r="C92" i="1" s="1"/>
  <c r="R26" i="7"/>
  <c r="S26" i="7" s="1"/>
  <c r="X26" i="7"/>
  <c r="Y26" i="7" s="1"/>
  <c r="E92" i="1" s="1"/>
  <c r="AE26" i="7"/>
  <c r="F92" i="1" s="1"/>
  <c r="L27" i="7"/>
  <c r="M27" i="7"/>
  <c r="C93" i="1" s="1"/>
  <c r="R27" i="7"/>
  <c r="S27" i="7" s="1"/>
  <c r="D93" i="1" s="1"/>
  <c r="X27" i="7"/>
  <c r="Y27" i="7"/>
  <c r="E93" i="1" s="1"/>
  <c r="AE27" i="7"/>
  <c r="F93" i="1" s="1"/>
  <c r="G28" i="7"/>
  <c r="B94" i="1" s="1"/>
  <c r="L28" i="7"/>
  <c r="M28" i="7" s="1"/>
  <c r="R28" i="7"/>
  <c r="S28" i="7" s="1"/>
  <c r="D94" i="1" s="1"/>
  <c r="X28" i="7"/>
  <c r="Y28" i="7" s="1"/>
  <c r="E94" i="1" s="1"/>
  <c r="AE28" i="7"/>
  <c r="F94" i="1" s="1"/>
  <c r="L29" i="7"/>
  <c r="M29" i="7" s="1"/>
  <c r="C95" i="1" s="1"/>
  <c r="R29" i="7"/>
  <c r="S29" i="7" s="1"/>
  <c r="D95" i="1" s="1"/>
  <c r="X29" i="7"/>
  <c r="Y29" i="7" s="1"/>
  <c r="AE29" i="7"/>
  <c r="F95" i="1" s="1"/>
  <c r="L30" i="7"/>
  <c r="M30" i="7" s="1"/>
  <c r="R30" i="7"/>
  <c r="S30" i="7" s="1"/>
  <c r="D96" i="1" s="1"/>
  <c r="X30" i="7"/>
  <c r="Y30" i="7"/>
  <c r="E96" i="1" s="1"/>
  <c r="G31" i="7"/>
  <c r="B97" i="1" s="1"/>
  <c r="L31" i="7"/>
  <c r="M31" i="7" s="1"/>
  <c r="C97" i="1" s="1"/>
  <c r="R31" i="7"/>
  <c r="S31" i="7" s="1"/>
  <c r="D97" i="1" s="1"/>
  <c r="X31" i="7"/>
  <c r="Y31" i="7" s="1"/>
  <c r="E97" i="1" s="1"/>
  <c r="L32" i="7"/>
  <c r="M32" i="7" s="1"/>
  <c r="C98" i="1" s="1"/>
  <c r="R32" i="7"/>
  <c r="S32" i="7"/>
  <c r="D98" i="1" s="1"/>
  <c r="X32" i="7"/>
  <c r="Y32" i="7" s="1"/>
  <c r="E98" i="1" s="1"/>
  <c r="G33" i="7"/>
  <c r="B99" i="1" s="1"/>
  <c r="L33" i="7"/>
  <c r="M33" i="7" s="1"/>
  <c r="R33" i="7"/>
  <c r="S33" i="7"/>
  <c r="D99" i="1" s="1"/>
  <c r="X33" i="7"/>
  <c r="Y33" i="7"/>
  <c r="E99" i="1" s="1"/>
  <c r="G34" i="7"/>
  <c r="B100" i="1" s="1"/>
  <c r="L34" i="7"/>
  <c r="M34" i="7" s="1"/>
  <c r="C100" i="1" s="1"/>
  <c r="R34" i="7"/>
  <c r="S34" i="7" s="1"/>
  <c r="D100" i="1" s="1"/>
  <c r="X34" i="7"/>
  <c r="Y34" i="7" s="1"/>
  <c r="E100" i="1" s="1"/>
  <c r="AE34" i="7"/>
  <c r="F100" i="1" s="1"/>
  <c r="L35" i="7"/>
  <c r="M35" i="7"/>
  <c r="C101" i="1" s="1"/>
  <c r="R35" i="7"/>
  <c r="S35" i="7" s="1"/>
  <c r="D101" i="1" s="1"/>
  <c r="X35" i="7"/>
  <c r="Y35" i="7"/>
  <c r="E101" i="1" s="1"/>
  <c r="AE35" i="7"/>
  <c r="F101" i="1" s="1"/>
  <c r="G36" i="7"/>
  <c r="B102" i="1" s="1"/>
  <c r="L36" i="7"/>
  <c r="M36" i="7" s="1"/>
  <c r="R36" i="7"/>
  <c r="S36" i="7" s="1"/>
  <c r="D102" i="1" s="1"/>
  <c r="X36" i="7"/>
  <c r="Y36" i="7" s="1"/>
  <c r="E102" i="1" s="1"/>
  <c r="AE36" i="7"/>
  <c r="F102" i="1" s="1"/>
  <c r="G37" i="7"/>
  <c r="B103" i="1" s="1"/>
  <c r="L37" i="7"/>
  <c r="M37" i="7" s="1"/>
  <c r="C103" i="1" s="1"/>
  <c r="R37" i="7"/>
  <c r="S37" i="7"/>
  <c r="D103" i="1" s="1"/>
  <c r="X37" i="7"/>
  <c r="Y37" i="7" s="1"/>
  <c r="E103" i="1" s="1"/>
  <c r="AE37" i="7"/>
  <c r="F103" i="1" s="1"/>
  <c r="G38" i="7"/>
  <c r="B104" i="1" s="1"/>
  <c r="L38" i="7"/>
  <c r="M38" i="7" s="1"/>
  <c r="R38" i="7"/>
  <c r="S38" i="7" s="1"/>
  <c r="D104" i="1" s="1"/>
  <c r="X38" i="7"/>
  <c r="Y38" i="7"/>
  <c r="E104" i="1" s="1"/>
  <c r="AE38" i="7"/>
  <c r="F104" i="1" s="1"/>
  <c r="G39" i="7"/>
  <c r="B105" i="1" s="1"/>
  <c r="L39" i="7"/>
  <c r="M39" i="7"/>
  <c r="C105" i="1" s="1"/>
  <c r="R39" i="7"/>
  <c r="S39" i="7" s="1"/>
  <c r="D105" i="1" s="1"/>
  <c r="X39" i="7"/>
  <c r="Y39" i="7"/>
  <c r="E105" i="1" s="1"/>
  <c r="AE39" i="7"/>
  <c r="F105" i="1" s="1"/>
  <c r="L40" i="7"/>
  <c r="M40" i="7" s="1"/>
  <c r="C106" i="1" s="1"/>
  <c r="R40" i="7"/>
  <c r="S40" i="7"/>
  <c r="D106" i="1" s="1"/>
  <c r="X40" i="7"/>
  <c r="Y40" i="7" s="1"/>
  <c r="E106" i="1" s="1"/>
  <c r="G41" i="7"/>
  <c r="B107" i="1" s="1"/>
  <c r="L41" i="7"/>
  <c r="M41" i="7" s="1"/>
  <c r="C107" i="1" s="1"/>
  <c r="R41" i="7"/>
  <c r="S41" i="7"/>
  <c r="D107" i="1" s="1"/>
  <c r="X41" i="7"/>
  <c r="Y41" i="7" s="1"/>
  <c r="E107" i="1" s="1"/>
  <c r="G42" i="7"/>
  <c r="B108" i="1" s="1"/>
  <c r="L42" i="7"/>
  <c r="M42" i="7"/>
  <c r="C108" i="1" s="1"/>
  <c r="R42" i="7"/>
  <c r="S42" i="7" s="1"/>
  <c r="X42" i="7"/>
  <c r="Y42" i="7" s="1"/>
  <c r="E108" i="1" s="1"/>
  <c r="AE42" i="7"/>
  <c r="F108" i="1" s="1"/>
  <c r="L43" i="7"/>
  <c r="M43" i="7"/>
  <c r="C109" i="1" s="1"/>
  <c r="R43" i="7"/>
  <c r="S43" i="7" s="1"/>
  <c r="D109" i="1" s="1"/>
  <c r="X43" i="7"/>
  <c r="Y43" i="7"/>
  <c r="E109" i="1" s="1"/>
  <c r="AE43" i="7"/>
  <c r="F109" i="1" s="1"/>
  <c r="G44" i="7"/>
  <c r="B110" i="1" s="1"/>
  <c r="L44" i="7"/>
  <c r="M44" i="7" s="1"/>
  <c r="R44" i="7"/>
  <c r="S44" i="7" s="1"/>
  <c r="D110" i="1" s="1"/>
  <c r="X44" i="7"/>
  <c r="Y44" i="7" s="1"/>
  <c r="E110" i="1" s="1"/>
  <c r="AE44" i="7"/>
  <c r="F110" i="1" s="1"/>
  <c r="G45" i="7"/>
  <c r="B111" i="1" s="1"/>
  <c r="L45" i="7"/>
  <c r="M45" i="7" s="1"/>
  <c r="C111" i="1" s="1"/>
  <c r="R45" i="7"/>
  <c r="S45" i="7"/>
  <c r="D111" i="1" s="1"/>
  <c r="X45" i="7"/>
  <c r="Y45" i="7" s="1"/>
  <c r="E111" i="1" s="1"/>
  <c r="AE45" i="7"/>
  <c r="F111" i="1" s="1"/>
  <c r="E11" i="7"/>
  <c r="D11" i="7"/>
  <c r="C11" i="7"/>
  <c r="B11" i="7"/>
  <c r="F10" i="7"/>
  <c r="F9" i="7"/>
  <c r="F8" i="7"/>
  <c r="F7" i="7"/>
  <c r="F6" i="7"/>
  <c r="F5" i="7"/>
  <c r="F4" i="7"/>
  <c r="G81" i="5"/>
  <c r="I11" i="5"/>
  <c r="O75" i="5"/>
  <c r="G12" i="5"/>
  <c r="G137" i="1" l="1"/>
  <c r="M11" i="8"/>
  <c r="AF47" i="8"/>
  <c r="E82" i="1"/>
  <c r="C82" i="1"/>
  <c r="M49" i="7"/>
  <c r="M5" i="7"/>
  <c r="B82" i="1"/>
  <c r="M4" i="7"/>
  <c r="G47" i="7"/>
  <c r="M6" i="7"/>
  <c r="M8" i="7"/>
  <c r="H122" i="1"/>
  <c r="I122" i="1"/>
  <c r="AE48" i="8"/>
  <c r="AE49" i="8" s="1"/>
  <c r="H8" i="8"/>
  <c r="Y48" i="8"/>
  <c r="Y49" i="8" s="1"/>
  <c r="H7" i="8"/>
  <c r="S48" i="8"/>
  <c r="S49" i="8" s="1"/>
  <c r="H6" i="8"/>
  <c r="M48" i="8"/>
  <c r="M49" i="8" s="1"/>
  <c r="H5" i="8"/>
  <c r="G48" i="8"/>
  <c r="G49" i="8" s="1"/>
  <c r="G12" i="8"/>
  <c r="AF48" i="8" s="1"/>
  <c r="H4" i="8"/>
  <c r="H11" i="8" s="1"/>
  <c r="I11" i="8"/>
  <c r="C94" i="1"/>
  <c r="AF28" i="7"/>
  <c r="C83" i="1"/>
  <c r="AF17" i="7"/>
  <c r="AF34" i="7"/>
  <c r="AF30" i="7"/>
  <c r="C96" i="1"/>
  <c r="G96" i="1" s="1"/>
  <c r="AF26" i="7"/>
  <c r="D92" i="1"/>
  <c r="AF42" i="7"/>
  <c r="D108" i="1"/>
  <c r="C102" i="1"/>
  <c r="G102" i="1" s="1"/>
  <c r="AF36" i="7"/>
  <c r="C91" i="1"/>
  <c r="G91" i="1" s="1"/>
  <c r="AF25" i="7"/>
  <c r="C86" i="1"/>
  <c r="AF20" i="7"/>
  <c r="AF43" i="7"/>
  <c r="B109" i="1"/>
  <c r="AF35" i="7"/>
  <c r="B101" i="1"/>
  <c r="G101" i="1" s="1"/>
  <c r="AF27" i="7"/>
  <c r="B93" i="1"/>
  <c r="G93" i="1" s="1"/>
  <c r="AF19" i="7"/>
  <c r="B85" i="1"/>
  <c r="AF38" i="7"/>
  <c r="C104" i="1"/>
  <c r="G104" i="1" s="1"/>
  <c r="C110" i="1"/>
  <c r="G110" i="1" s="1"/>
  <c r="AF44" i="7"/>
  <c r="G112" i="1"/>
  <c r="AF31" i="7"/>
  <c r="AF22" i="7"/>
  <c r="C88" i="1"/>
  <c r="C99" i="1"/>
  <c r="G99" i="1" s="1"/>
  <c r="AF33" i="7"/>
  <c r="E87" i="1"/>
  <c r="AF21" i="7"/>
  <c r="E95" i="1"/>
  <c r="G95" i="1" s="1"/>
  <c r="AF29" i="7"/>
  <c r="E84" i="1"/>
  <c r="D84" i="1"/>
  <c r="G84" i="1" s="1"/>
  <c r="AF18" i="7"/>
  <c r="B106" i="1"/>
  <c r="G106" i="1" s="1"/>
  <c r="AF40" i="7"/>
  <c r="B98" i="1"/>
  <c r="G98" i="1" s="1"/>
  <c r="AF32" i="7"/>
  <c r="B90" i="1"/>
  <c r="G90" i="1" s="1"/>
  <c r="AF24" i="7"/>
  <c r="AF45" i="7"/>
  <c r="AF37" i="7"/>
  <c r="G109" i="1"/>
  <c r="G100" i="1"/>
  <c r="AF41" i="7"/>
  <c r="G92" i="1"/>
  <c r="G107" i="1"/>
  <c r="G83" i="1"/>
  <c r="G85" i="1"/>
  <c r="G108" i="1"/>
  <c r="AF39" i="7"/>
  <c r="AF23" i="7"/>
  <c r="G105" i="1"/>
  <c r="G97" i="1"/>
  <c r="G89" i="1"/>
  <c r="G88" i="1"/>
  <c r="G111" i="1"/>
  <c r="G87" i="1"/>
  <c r="G94" i="1"/>
  <c r="G86" i="1"/>
  <c r="F82" i="1"/>
  <c r="S49" i="7"/>
  <c r="D82" i="1"/>
  <c r="G82" i="1"/>
  <c r="G103" i="1"/>
  <c r="F77" i="1"/>
  <c r="G77" i="1" s="1"/>
  <c r="I72" i="1"/>
  <c r="G72" i="1"/>
  <c r="H72" i="1" s="1"/>
  <c r="I73" i="1"/>
  <c r="G73" i="1"/>
  <c r="H73" i="1" s="1"/>
  <c r="I74" i="1"/>
  <c r="G74" i="1"/>
  <c r="H74" i="1" s="1"/>
  <c r="I75" i="1"/>
  <c r="G75" i="1"/>
  <c r="H75" i="1" s="1"/>
  <c r="I76" i="1"/>
  <c r="G76" i="1"/>
  <c r="H76" i="1" s="1"/>
  <c r="F11" i="7"/>
  <c r="G11" i="7" s="1"/>
  <c r="I4" i="7"/>
  <c r="G4" i="7"/>
  <c r="I5" i="7"/>
  <c r="G5" i="7"/>
  <c r="M48" i="7" s="1"/>
  <c r="I6" i="7"/>
  <c r="G6" i="7"/>
  <c r="S48" i="7" s="1"/>
  <c r="I7" i="7"/>
  <c r="G7" i="7"/>
  <c r="Y48" i="7" s="1"/>
  <c r="Y49" i="7" s="1"/>
  <c r="I8" i="7"/>
  <c r="G8" i="7"/>
  <c r="AE48" i="7" s="1"/>
  <c r="AE49" i="7" s="1"/>
  <c r="I9" i="7"/>
  <c r="G9" i="7"/>
  <c r="H9" i="7" s="1"/>
  <c r="I10" i="7"/>
  <c r="G10" i="7"/>
  <c r="H10" i="7" s="1"/>
  <c r="M10" i="5"/>
  <c r="H11" i="5"/>
  <c r="B11" i="5"/>
  <c r="F11" i="5"/>
  <c r="G9" i="5"/>
  <c r="H9" i="5" s="1"/>
  <c r="I9" i="5"/>
  <c r="G10" i="5"/>
  <c r="H10" i="5" s="1"/>
  <c r="I10" i="5"/>
  <c r="F9" i="5"/>
  <c r="F10" i="5"/>
  <c r="AF49" i="8" l="1"/>
  <c r="G48" i="7"/>
  <c r="G49" i="7" s="1"/>
  <c r="G12" i="7"/>
  <c r="AF48" i="7" s="1"/>
  <c r="AF49" i="7"/>
  <c r="H77" i="1"/>
  <c r="I77" i="1"/>
  <c r="H8" i="7"/>
  <c r="H7" i="7"/>
  <c r="H6" i="7"/>
  <c r="H5" i="7"/>
  <c r="H4" i="7"/>
  <c r="I11" i="7"/>
  <c r="M9" i="2"/>
  <c r="L9" i="2"/>
  <c r="L5" i="2"/>
  <c r="L6" i="2"/>
  <c r="L7" i="2"/>
  <c r="L8" i="2"/>
  <c r="L4" i="2"/>
  <c r="K8" i="2"/>
  <c r="K7" i="2"/>
  <c r="K6" i="2"/>
  <c r="K5" i="2"/>
  <c r="K4" i="2"/>
  <c r="AE24" i="2"/>
  <c r="Y24" i="2"/>
  <c r="S24" i="2"/>
  <c r="M24" i="2"/>
  <c r="G24" i="2"/>
  <c r="J5" i="2"/>
  <c r="J6" i="2"/>
  <c r="J7" i="2"/>
  <c r="J8" i="2"/>
  <c r="J4" i="2"/>
  <c r="F25" i="5"/>
  <c r="G25" i="5" s="1"/>
  <c r="B46" i="1" s="1"/>
  <c r="L25" i="5"/>
  <c r="M25" i="5" s="1"/>
  <c r="C46" i="1" s="1"/>
  <c r="R25" i="5"/>
  <c r="S25" i="5" s="1"/>
  <c r="D46" i="1" s="1"/>
  <c r="X25" i="5"/>
  <c r="Y25" i="5" s="1"/>
  <c r="E46" i="1" s="1"/>
  <c r="AD25" i="5"/>
  <c r="AE25" i="5" s="1"/>
  <c r="F46" i="1" s="1"/>
  <c r="F26" i="5"/>
  <c r="G26" i="5" s="1"/>
  <c r="B47" i="1" s="1"/>
  <c r="L26" i="5"/>
  <c r="M26" i="5" s="1"/>
  <c r="C47" i="1" s="1"/>
  <c r="R26" i="5"/>
  <c r="S26" i="5" s="1"/>
  <c r="D47" i="1" s="1"/>
  <c r="X26" i="5"/>
  <c r="Y26" i="5" s="1"/>
  <c r="E47" i="1" s="1"/>
  <c r="AD26" i="5"/>
  <c r="AE26" i="5" s="1"/>
  <c r="F47" i="1" s="1"/>
  <c r="F27" i="5"/>
  <c r="G27" i="5" s="1"/>
  <c r="B48" i="1" s="1"/>
  <c r="L27" i="5"/>
  <c r="M27" i="5" s="1"/>
  <c r="C48" i="1" s="1"/>
  <c r="R27" i="5"/>
  <c r="S27" i="5" s="1"/>
  <c r="D48" i="1" s="1"/>
  <c r="X27" i="5"/>
  <c r="Y27" i="5" s="1"/>
  <c r="E48" i="1" s="1"/>
  <c r="AD27" i="5"/>
  <c r="AE27" i="5" s="1"/>
  <c r="F48" i="1" s="1"/>
  <c r="F28" i="5"/>
  <c r="G28" i="5" s="1"/>
  <c r="B49" i="1" s="1"/>
  <c r="L28" i="5"/>
  <c r="M28" i="5" s="1"/>
  <c r="C49" i="1" s="1"/>
  <c r="R28" i="5"/>
  <c r="S28" i="5" s="1"/>
  <c r="D49" i="1" s="1"/>
  <c r="X28" i="5"/>
  <c r="Y28" i="5" s="1"/>
  <c r="E49" i="1" s="1"/>
  <c r="AD28" i="5"/>
  <c r="AE28" i="5" s="1"/>
  <c r="F49" i="1" s="1"/>
  <c r="F29" i="5"/>
  <c r="G29" i="5" s="1"/>
  <c r="B50" i="1" s="1"/>
  <c r="L29" i="5"/>
  <c r="M29" i="5" s="1"/>
  <c r="C50" i="1" s="1"/>
  <c r="R29" i="5"/>
  <c r="S29" i="5" s="1"/>
  <c r="D50" i="1" s="1"/>
  <c r="X29" i="5"/>
  <c r="Y29" i="5" s="1"/>
  <c r="E50" i="1" s="1"/>
  <c r="AD29" i="5"/>
  <c r="AE29" i="5" s="1"/>
  <c r="F50" i="1" s="1"/>
  <c r="F30" i="5"/>
  <c r="G30" i="5" s="1"/>
  <c r="B51" i="1" s="1"/>
  <c r="L30" i="5"/>
  <c r="M30" i="5" s="1"/>
  <c r="C51" i="1" s="1"/>
  <c r="R30" i="5"/>
  <c r="S30" i="5" s="1"/>
  <c r="D51" i="1" s="1"/>
  <c r="X30" i="5"/>
  <c r="Y30" i="5" s="1"/>
  <c r="E51" i="1" s="1"/>
  <c r="AD30" i="5"/>
  <c r="AE30" i="5" s="1"/>
  <c r="F51" i="1" s="1"/>
  <c r="F31" i="5"/>
  <c r="G31" i="5" s="1"/>
  <c r="B52" i="1" s="1"/>
  <c r="L31" i="5"/>
  <c r="M31" i="5" s="1"/>
  <c r="C52" i="1" s="1"/>
  <c r="R31" i="5"/>
  <c r="S31" i="5" s="1"/>
  <c r="D52" i="1" s="1"/>
  <c r="X31" i="5"/>
  <c r="Y31" i="5" s="1"/>
  <c r="E52" i="1" s="1"/>
  <c r="AD31" i="5"/>
  <c r="AE31" i="5" s="1"/>
  <c r="F52" i="1" s="1"/>
  <c r="F32" i="5"/>
  <c r="G32" i="5" s="1"/>
  <c r="B53" i="1" s="1"/>
  <c r="L32" i="5"/>
  <c r="M32" i="5" s="1"/>
  <c r="C53" i="1" s="1"/>
  <c r="R32" i="5"/>
  <c r="S32" i="5" s="1"/>
  <c r="D53" i="1" s="1"/>
  <c r="X32" i="5"/>
  <c r="Y32" i="5" s="1"/>
  <c r="E53" i="1" s="1"/>
  <c r="AD32" i="5"/>
  <c r="AE32" i="5" s="1"/>
  <c r="F53" i="1" s="1"/>
  <c r="F33" i="5"/>
  <c r="G33" i="5" s="1"/>
  <c r="B54" i="1" s="1"/>
  <c r="L33" i="5"/>
  <c r="M33" i="5" s="1"/>
  <c r="C54" i="1" s="1"/>
  <c r="R33" i="5"/>
  <c r="S33" i="5" s="1"/>
  <c r="D54" i="1" s="1"/>
  <c r="X33" i="5"/>
  <c r="Y33" i="5" s="1"/>
  <c r="E54" i="1" s="1"/>
  <c r="AD33" i="5"/>
  <c r="AE33" i="5"/>
  <c r="F54" i="1" s="1"/>
  <c r="F34" i="5"/>
  <c r="G34" i="5" s="1"/>
  <c r="B55" i="1" s="1"/>
  <c r="L34" i="5"/>
  <c r="M34" i="5" s="1"/>
  <c r="C55" i="1" s="1"/>
  <c r="R34" i="5"/>
  <c r="S34" i="5" s="1"/>
  <c r="D55" i="1" s="1"/>
  <c r="X34" i="5"/>
  <c r="Y34" i="5" s="1"/>
  <c r="E55" i="1" s="1"/>
  <c r="AD34" i="5"/>
  <c r="AE34" i="5" s="1"/>
  <c r="F55" i="1" s="1"/>
  <c r="F35" i="5"/>
  <c r="G35" i="5" s="1"/>
  <c r="B56" i="1" s="1"/>
  <c r="L35" i="5"/>
  <c r="M35" i="5" s="1"/>
  <c r="C56" i="1" s="1"/>
  <c r="R35" i="5"/>
  <c r="S35" i="5" s="1"/>
  <c r="D56" i="1" s="1"/>
  <c r="X35" i="5"/>
  <c r="Y35" i="5" s="1"/>
  <c r="E56" i="1" s="1"/>
  <c r="AD35" i="5"/>
  <c r="AE35" i="5" s="1"/>
  <c r="F56" i="1" s="1"/>
  <c r="F36" i="5"/>
  <c r="G36" i="5"/>
  <c r="B57" i="1" s="1"/>
  <c r="L36" i="5"/>
  <c r="M36" i="5" s="1"/>
  <c r="C57" i="1" s="1"/>
  <c r="R36" i="5"/>
  <c r="S36" i="5" s="1"/>
  <c r="D57" i="1" s="1"/>
  <c r="X36" i="5"/>
  <c r="Y36" i="5" s="1"/>
  <c r="E57" i="1" s="1"/>
  <c r="AD36" i="5"/>
  <c r="AE36" i="5"/>
  <c r="F57" i="1" s="1"/>
  <c r="F37" i="5"/>
  <c r="G37" i="5" s="1"/>
  <c r="B58" i="1" s="1"/>
  <c r="L37" i="5"/>
  <c r="M37" i="5" s="1"/>
  <c r="C58" i="1" s="1"/>
  <c r="R37" i="5"/>
  <c r="S37" i="5" s="1"/>
  <c r="D58" i="1" s="1"/>
  <c r="X37" i="5"/>
  <c r="Y37" i="5" s="1"/>
  <c r="E58" i="1" s="1"/>
  <c r="AD37" i="5"/>
  <c r="AE37" i="5" s="1"/>
  <c r="F58" i="1" s="1"/>
  <c r="F38" i="5"/>
  <c r="G38" i="5"/>
  <c r="B59" i="1" s="1"/>
  <c r="L38" i="5"/>
  <c r="M38" i="5" s="1"/>
  <c r="C59" i="1" s="1"/>
  <c r="R38" i="5"/>
  <c r="S38" i="5" s="1"/>
  <c r="D59" i="1" s="1"/>
  <c r="X38" i="5"/>
  <c r="Y38" i="5" s="1"/>
  <c r="E59" i="1" s="1"/>
  <c r="AD38" i="5"/>
  <c r="AE38" i="5"/>
  <c r="F59" i="1" s="1"/>
  <c r="F39" i="5"/>
  <c r="G39" i="5" s="1"/>
  <c r="B60" i="1" s="1"/>
  <c r="L39" i="5"/>
  <c r="M39" i="5" s="1"/>
  <c r="C60" i="1" s="1"/>
  <c r="R39" i="5"/>
  <c r="S39" i="5" s="1"/>
  <c r="D60" i="1" s="1"/>
  <c r="X39" i="5"/>
  <c r="Y39" i="5" s="1"/>
  <c r="E60" i="1" s="1"/>
  <c r="AD39" i="5"/>
  <c r="AE39" i="5" s="1"/>
  <c r="F60" i="1" s="1"/>
  <c r="F40" i="5"/>
  <c r="G40" i="5" s="1"/>
  <c r="B61" i="1" s="1"/>
  <c r="L40" i="5"/>
  <c r="M40" i="5"/>
  <c r="C61" i="1" s="1"/>
  <c r="R40" i="5"/>
  <c r="S40" i="5" s="1"/>
  <c r="D61" i="1" s="1"/>
  <c r="X40" i="5"/>
  <c r="Y40" i="5" s="1"/>
  <c r="E61" i="1" s="1"/>
  <c r="AD40" i="5"/>
  <c r="AE40" i="5" s="1"/>
  <c r="F61" i="1" s="1"/>
  <c r="F41" i="5"/>
  <c r="G41" i="5" s="1"/>
  <c r="B62" i="1" s="1"/>
  <c r="L41" i="5"/>
  <c r="M41" i="5" s="1"/>
  <c r="C62" i="1" s="1"/>
  <c r="R41" i="5"/>
  <c r="S41" i="5" s="1"/>
  <c r="D62" i="1" s="1"/>
  <c r="X41" i="5"/>
  <c r="Y41" i="5" s="1"/>
  <c r="AD41" i="5"/>
  <c r="AE41" i="5" s="1"/>
  <c r="F42" i="5"/>
  <c r="G42" i="5" s="1"/>
  <c r="L42" i="5"/>
  <c r="M42" i="5" s="1"/>
  <c r="R42" i="5"/>
  <c r="S42" i="5" s="1"/>
  <c r="X42" i="5"/>
  <c r="Y42" i="5" s="1"/>
  <c r="E63" i="1" s="1"/>
  <c r="AD42" i="5"/>
  <c r="AE42" i="5" s="1"/>
  <c r="F63" i="1" s="1"/>
  <c r="F43" i="5"/>
  <c r="G43" i="5" s="1"/>
  <c r="B64" i="1" s="1"/>
  <c r="L43" i="5"/>
  <c r="M43" i="5"/>
  <c r="R43" i="5"/>
  <c r="S43" i="5" s="1"/>
  <c r="X43" i="5"/>
  <c r="Y43" i="5" s="1"/>
  <c r="AD43" i="5"/>
  <c r="AE43" i="5" s="1"/>
  <c r="F44" i="5"/>
  <c r="G44" i="5" s="1"/>
  <c r="B65" i="1" s="1"/>
  <c r="L44" i="5"/>
  <c r="M44" i="5" s="1"/>
  <c r="C65" i="1" s="1"/>
  <c r="R44" i="5"/>
  <c r="S44" i="5" s="1"/>
  <c r="D65" i="1" s="1"/>
  <c r="X44" i="5"/>
  <c r="Y44" i="5" s="1"/>
  <c r="E65" i="1" s="1"/>
  <c r="AD44" i="5"/>
  <c r="AE44" i="5" s="1"/>
  <c r="F65" i="1" s="1"/>
  <c r="F45" i="5"/>
  <c r="G45" i="5" s="1"/>
  <c r="B66" i="1" s="1"/>
  <c r="L45" i="5"/>
  <c r="M45" i="5" s="1"/>
  <c r="C66" i="1" s="1"/>
  <c r="R45" i="5"/>
  <c r="S45" i="5" s="1"/>
  <c r="D66" i="1" s="1"/>
  <c r="X45" i="5"/>
  <c r="Y45" i="5" s="1"/>
  <c r="E66" i="1" s="1"/>
  <c r="AD45" i="5"/>
  <c r="AE45" i="5" s="1"/>
  <c r="F66" i="1" s="1"/>
  <c r="F24" i="5"/>
  <c r="G24" i="5" s="1"/>
  <c r="B45" i="1" s="1"/>
  <c r="L24" i="5"/>
  <c r="M24" i="5" s="1"/>
  <c r="C45" i="1" s="1"/>
  <c r="R24" i="5"/>
  <c r="S24" i="5" s="1"/>
  <c r="D45" i="1" s="1"/>
  <c r="X24" i="5"/>
  <c r="Y24" i="5" s="1"/>
  <c r="E45" i="1" s="1"/>
  <c r="AD24" i="5"/>
  <c r="AE24" i="5" s="1"/>
  <c r="F45" i="1" s="1"/>
  <c r="R17" i="5"/>
  <c r="S17" i="5" s="1"/>
  <c r="D38" i="1" s="1"/>
  <c r="X17" i="5"/>
  <c r="Y17" i="5" s="1"/>
  <c r="E38" i="1" s="1"/>
  <c r="AD17" i="5"/>
  <c r="AE17" i="5" s="1"/>
  <c r="F38" i="1" s="1"/>
  <c r="F16" i="5"/>
  <c r="G16" i="5" s="1"/>
  <c r="L16" i="5"/>
  <c r="M16" i="5" s="1"/>
  <c r="C37" i="1" s="1"/>
  <c r="R16" i="5"/>
  <c r="S16" i="5" s="1"/>
  <c r="D37" i="1" s="1"/>
  <c r="X16" i="5"/>
  <c r="Y16" i="5" s="1"/>
  <c r="E37" i="1" s="1"/>
  <c r="AD16" i="5"/>
  <c r="AE16" i="5" s="1"/>
  <c r="F37" i="1" s="1"/>
  <c r="F17" i="5"/>
  <c r="G17" i="5" s="1"/>
  <c r="B38" i="1" s="1"/>
  <c r="L17" i="5"/>
  <c r="M17" i="5" s="1"/>
  <c r="C38" i="1" s="1"/>
  <c r="F18" i="5"/>
  <c r="G18" i="5" s="1"/>
  <c r="B39" i="1" s="1"/>
  <c r="L18" i="5"/>
  <c r="M18" i="5" s="1"/>
  <c r="C39" i="1" s="1"/>
  <c r="R18" i="5"/>
  <c r="S18" i="5" s="1"/>
  <c r="D39" i="1" s="1"/>
  <c r="X18" i="5"/>
  <c r="Y18" i="5" s="1"/>
  <c r="E39" i="1" s="1"/>
  <c r="AD18" i="5"/>
  <c r="AE18" i="5" s="1"/>
  <c r="F39" i="1" s="1"/>
  <c r="F19" i="5"/>
  <c r="G19" i="5" s="1"/>
  <c r="B40" i="1" s="1"/>
  <c r="L19" i="5"/>
  <c r="M19" i="5" s="1"/>
  <c r="C40" i="1" s="1"/>
  <c r="R19" i="5"/>
  <c r="S19" i="5" s="1"/>
  <c r="D40" i="1" s="1"/>
  <c r="X19" i="5"/>
  <c r="Y19" i="5" s="1"/>
  <c r="E40" i="1" s="1"/>
  <c r="AD19" i="5"/>
  <c r="AE19" i="5" s="1"/>
  <c r="F40" i="1" s="1"/>
  <c r="F20" i="5"/>
  <c r="G20" i="5" s="1"/>
  <c r="B41" i="1" s="1"/>
  <c r="L20" i="5"/>
  <c r="M20" i="5" s="1"/>
  <c r="C41" i="1" s="1"/>
  <c r="R20" i="5"/>
  <c r="S20" i="5" s="1"/>
  <c r="D41" i="1" s="1"/>
  <c r="X20" i="5"/>
  <c r="Y20" i="5" s="1"/>
  <c r="E41" i="1" s="1"/>
  <c r="AD20" i="5"/>
  <c r="AE20" i="5" s="1"/>
  <c r="F41" i="1" s="1"/>
  <c r="F21" i="5"/>
  <c r="G21" i="5" s="1"/>
  <c r="B42" i="1" s="1"/>
  <c r="L21" i="5"/>
  <c r="M21" i="5" s="1"/>
  <c r="C42" i="1" s="1"/>
  <c r="R21" i="5"/>
  <c r="S21" i="5" s="1"/>
  <c r="D42" i="1" s="1"/>
  <c r="X21" i="5"/>
  <c r="Y21" i="5" s="1"/>
  <c r="E42" i="1" s="1"/>
  <c r="AD21" i="5"/>
  <c r="AE21" i="5" s="1"/>
  <c r="F42" i="1" s="1"/>
  <c r="F22" i="5"/>
  <c r="G22" i="5" s="1"/>
  <c r="B43" i="1" s="1"/>
  <c r="L22" i="5"/>
  <c r="M22" i="5" s="1"/>
  <c r="C43" i="1" s="1"/>
  <c r="R22" i="5"/>
  <c r="S22" i="5" s="1"/>
  <c r="D43" i="1" s="1"/>
  <c r="X22" i="5"/>
  <c r="Y22" i="5" s="1"/>
  <c r="E43" i="1" s="1"/>
  <c r="AD22" i="5"/>
  <c r="AE22" i="5" s="1"/>
  <c r="F43" i="1" s="1"/>
  <c r="F23" i="5"/>
  <c r="G23" i="5"/>
  <c r="B44" i="1" s="1"/>
  <c r="L23" i="5"/>
  <c r="M23" i="5" s="1"/>
  <c r="C44" i="1" s="1"/>
  <c r="R23" i="5"/>
  <c r="S23" i="5" s="1"/>
  <c r="D44" i="1" s="1"/>
  <c r="X23" i="5"/>
  <c r="Y23" i="5" s="1"/>
  <c r="E44" i="1" s="1"/>
  <c r="AD23" i="5"/>
  <c r="AE23" i="5"/>
  <c r="F44" i="1" s="1"/>
  <c r="F4" i="5"/>
  <c r="G4" i="5" s="1"/>
  <c r="H4" i="5" s="1"/>
  <c r="F5" i="5"/>
  <c r="G5" i="5" s="1"/>
  <c r="H5" i="5" s="1"/>
  <c r="I5" i="5"/>
  <c r="F6" i="5"/>
  <c r="G6" i="5" s="1"/>
  <c r="H6" i="5" s="1"/>
  <c r="F7" i="5"/>
  <c r="I7" i="5" s="1"/>
  <c r="F8" i="5"/>
  <c r="G8" i="5" s="1"/>
  <c r="H8" i="5" s="1"/>
  <c r="C11" i="5"/>
  <c r="D11" i="5"/>
  <c r="E11" i="5"/>
  <c r="F28" i="1"/>
  <c r="I28" i="1" s="1"/>
  <c r="G28" i="1"/>
  <c r="H28" i="1" s="1"/>
  <c r="F29" i="1"/>
  <c r="G29" i="1" s="1"/>
  <c r="H29" i="1" s="1"/>
  <c r="F30" i="1"/>
  <c r="G30" i="1"/>
  <c r="H30" i="1"/>
  <c r="I30" i="1"/>
  <c r="F31" i="1"/>
  <c r="G31" i="1" s="1"/>
  <c r="H31" i="1" s="1"/>
  <c r="F32" i="1"/>
  <c r="G32" i="1"/>
  <c r="H32" i="1"/>
  <c r="I32" i="1"/>
  <c r="B33" i="1"/>
  <c r="C33" i="1"/>
  <c r="D33" i="1"/>
  <c r="E33" i="1"/>
  <c r="AF24" i="2"/>
  <c r="AF23" i="2"/>
  <c r="AF15" i="2"/>
  <c r="AF16" i="2"/>
  <c r="AF17" i="2"/>
  <c r="AF18" i="2"/>
  <c r="AF19" i="2"/>
  <c r="AF20" i="2"/>
  <c r="AF21" i="2"/>
  <c r="AF22" i="2"/>
  <c r="AF14" i="2"/>
  <c r="F14" i="1"/>
  <c r="F15" i="1"/>
  <c r="F16" i="1"/>
  <c r="F17" i="1"/>
  <c r="F18" i="1"/>
  <c r="F19" i="1"/>
  <c r="F20" i="1"/>
  <c r="F21" i="1"/>
  <c r="F22" i="1"/>
  <c r="F13" i="1"/>
  <c r="E14" i="1"/>
  <c r="E15" i="1"/>
  <c r="E16" i="1"/>
  <c r="E17" i="1"/>
  <c r="E18" i="1"/>
  <c r="E19" i="1"/>
  <c r="E20" i="1"/>
  <c r="E21" i="1"/>
  <c r="E22" i="1"/>
  <c r="E13" i="1"/>
  <c r="D14" i="1"/>
  <c r="D15" i="1"/>
  <c r="D16" i="1"/>
  <c r="D17" i="1"/>
  <c r="D18" i="1"/>
  <c r="D19" i="1"/>
  <c r="D20" i="1"/>
  <c r="D21" i="1"/>
  <c r="D22" i="1"/>
  <c r="D13" i="1"/>
  <c r="C14" i="1"/>
  <c r="C15" i="1"/>
  <c r="C16" i="1"/>
  <c r="C17" i="1"/>
  <c r="C18" i="1"/>
  <c r="C19" i="1"/>
  <c r="C20" i="1"/>
  <c r="C21" i="1"/>
  <c r="C22" i="1"/>
  <c r="C13" i="1"/>
  <c r="B22" i="1"/>
  <c r="B14" i="1"/>
  <c r="B15" i="1"/>
  <c r="B16" i="1"/>
  <c r="B17" i="1"/>
  <c r="B18" i="1"/>
  <c r="B19" i="1"/>
  <c r="B20" i="1"/>
  <c r="B21" i="1"/>
  <c r="B13" i="1"/>
  <c r="F19" i="2"/>
  <c r="G19" i="2"/>
  <c r="L19" i="2"/>
  <c r="M19" i="2" s="1"/>
  <c r="R19" i="2"/>
  <c r="S19" i="2"/>
  <c r="X19" i="2"/>
  <c r="Y19" i="2"/>
  <c r="AD19" i="2"/>
  <c r="AE19" i="2"/>
  <c r="F20" i="2"/>
  <c r="G20" i="2" s="1"/>
  <c r="L20" i="2"/>
  <c r="M20" i="2"/>
  <c r="R20" i="2"/>
  <c r="S20" i="2"/>
  <c r="X20" i="2"/>
  <c r="Y20" i="2"/>
  <c r="AD20" i="2"/>
  <c r="AE20" i="2" s="1"/>
  <c r="F21" i="2"/>
  <c r="G21" i="2"/>
  <c r="L21" i="2"/>
  <c r="M21" i="2"/>
  <c r="R21" i="2"/>
  <c r="S21" i="2"/>
  <c r="X21" i="2"/>
  <c r="Y21" i="2" s="1"/>
  <c r="AD21" i="2"/>
  <c r="AE21" i="2"/>
  <c r="F22" i="2"/>
  <c r="G22" i="2"/>
  <c r="L22" i="2"/>
  <c r="M22" i="2"/>
  <c r="R22" i="2"/>
  <c r="S22" i="2" s="1"/>
  <c r="X22" i="2"/>
  <c r="Y22" i="2"/>
  <c r="AD22" i="2"/>
  <c r="AE22" i="2"/>
  <c r="F23" i="2"/>
  <c r="G23" i="2"/>
  <c r="L23" i="2"/>
  <c r="M23" i="2" s="1"/>
  <c r="R23" i="2"/>
  <c r="S23" i="2"/>
  <c r="X23" i="2"/>
  <c r="Y23" i="2"/>
  <c r="AD23" i="2"/>
  <c r="AE23" i="2"/>
  <c r="AD14" i="2"/>
  <c r="AE14" i="2" s="1"/>
  <c r="AD15" i="2"/>
  <c r="AE15" i="2"/>
  <c r="AD16" i="2"/>
  <c r="AE16" i="2"/>
  <c r="AD17" i="2"/>
  <c r="AE17" i="2"/>
  <c r="AD18" i="2"/>
  <c r="AE18" i="2" s="1"/>
  <c r="R14" i="2"/>
  <c r="S14" i="2"/>
  <c r="X14" i="2"/>
  <c r="Y14" i="2"/>
  <c r="R15" i="2"/>
  <c r="S15" i="2"/>
  <c r="X15" i="2"/>
  <c r="Y15" i="2" s="1"/>
  <c r="R16" i="2"/>
  <c r="S16" i="2"/>
  <c r="X16" i="2"/>
  <c r="Y16" i="2"/>
  <c r="R17" i="2"/>
  <c r="S17" i="2"/>
  <c r="X17" i="2"/>
  <c r="Y17" i="2" s="1"/>
  <c r="R18" i="2"/>
  <c r="S18" i="2"/>
  <c r="X18" i="2"/>
  <c r="Y18" i="2"/>
  <c r="H11" i="7" l="1"/>
  <c r="E64" i="1"/>
  <c r="Y46" i="5"/>
  <c r="F64" i="1"/>
  <c r="AE46" i="5"/>
  <c r="D64" i="1"/>
  <c r="S46" i="5"/>
  <c r="C64" i="1"/>
  <c r="M46" i="5"/>
  <c r="B37" i="1"/>
  <c r="G37" i="1" s="1"/>
  <c r="G46" i="5"/>
  <c r="E62" i="1"/>
  <c r="M7" i="5"/>
  <c r="J7" i="5" s="1"/>
  <c r="B63" i="1"/>
  <c r="M4" i="5"/>
  <c r="D63" i="1"/>
  <c r="M6" i="5"/>
  <c r="J6" i="5" s="1"/>
  <c r="C63" i="1"/>
  <c r="M5" i="5"/>
  <c r="J5" i="5" s="1"/>
  <c r="F62" i="1"/>
  <c r="G62" i="1" s="1"/>
  <c r="M8" i="5"/>
  <c r="J8" i="5" s="1"/>
  <c r="G61" i="1"/>
  <c r="G51" i="1"/>
  <c r="G59" i="1"/>
  <c r="G50" i="1"/>
  <c r="G66" i="1"/>
  <c r="G58" i="1"/>
  <c r="G53" i="1"/>
  <c r="G42" i="1"/>
  <c r="G47" i="1"/>
  <c r="G45" i="1"/>
  <c r="I8" i="5"/>
  <c r="G14" i="1"/>
  <c r="G22" i="1"/>
  <c r="G13" i="1"/>
  <c r="G18" i="1"/>
  <c r="G21" i="1"/>
  <c r="G15" i="1"/>
  <c r="G17" i="1"/>
  <c r="G20" i="1"/>
  <c r="G16" i="1"/>
  <c r="G19" i="1"/>
  <c r="G43" i="1"/>
  <c r="G65" i="1"/>
  <c r="G48" i="1"/>
  <c r="G41" i="1"/>
  <c r="G54" i="1"/>
  <c r="G64" i="1"/>
  <c r="G46" i="1"/>
  <c r="G40" i="1"/>
  <c r="G56" i="1"/>
  <c r="G38" i="1"/>
  <c r="G60" i="1"/>
  <c r="G49" i="1"/>
  <c r="G52" i="1"/>
  <c r="G39" i="1"/>
  <c r="G44" i="1"/>
  <c r="G57" i="1"/>
  <c r="G55" i="1"/>
  <c r="AF37" i="5"/>
  <c r="AF20" i="5"/>
  <c r="AF40" i="5"/>
  <c r="AF32" i="5"/>
  <c r="AF29" i="5"/>
  <c r="AF41" i="5"/>
  <c r="AF33" i="5"/>
  <c r="AF25" i="5"/>
  <c r="AF42" i="5"/>
  <c r="AF43" i="5"/>
  <c r="AF26" i="5"/>
  <c r="AF44" i="5"/>
  <c r="AF35" i="5"/>
  <c r="AF27" i="5"/>
  <c r="AF39" i="5"/>
  <c r="AF31" i="5"/>
  <c r="AF34" i="5"/>
  <c r="AF45" i="5"/>
  <c r="AF38" i="5"/>
  <c r="AF36" i="5"/>
  <c r="AF30" i="5"/>
  <c r="AF28" i="5"/>
  <c r="AF24" i="5"/>
  <c r="AF17" i="5"/>
  <c r="AF16" i="5"/>
  <c r="AF18" i="5"/>
  <c r="AF19" i="5"/>
  <c r="AF23" i="5"/>
  <c r="AF21" i="5"/>
  <c r="AF22" i="5"/>
  <c r="G7" i="5"/>
  <c r="H7" i="5" s="1"/>
  <c r="I6" i="5"/>
  <c r="G11" i="5"/>
  <c r="I4" i="5"/>
  <c r="H33" i="1"/>
  <c r="I31" i="1"/>
  <c r="I29" i="1"/>
  <c r="I33" i="1" s="1"/>
  <c r="F33" i="1"/>
  <c r="G33" i="1" s="1"/>
  <c r="L18" i="2"/>
  <c r="M18" i="2" s="1"/>
  <c r="M17" i="2"/>
  <c r="L17" i="2"/>
  <c r="L16" i="2"/>
  <c r="M16" i="2" s="1"/>
  <c r="L15" i="2"/>
  <c r="M15" i="2" s="1"/>
  <c r="L14" i="2"/>
  <c r="M14" i="2" s="1"/>
  <c r="F18" i="2"/>
  <c r="G18" i="2" s="1"/>
  <c r="F17" i="2"/>
  <c r="G17" i="2" s="1"/>
  <c r="F16" i="2"/>
  <c r="G16" i="2" s="1"/>
  <c r="F15" i="2"/>
  <c r="G15" i="2" s="1"/>
  <c r="F14" i="2"/>
  <c r="G14" i="2" s="1"/>
  <c r="E9" i="2"/>
  <c r="D9" i="2"/>
  <c r="C9" i="2"/>
  <c r="B9" i="2"/>
  <c r="F8" i="2"/>
  <c r="G8" i="2" s="1"/>
  <c r="H8" i="2" s="1"/>
  <c r="F7" i="2"/>
  <c r="I7" i="2" s="1"/>
  <c r="F6" i="2"/>
  <c r="I6" i="2" s="1"/>
  <c r="F5" i="2"/>
  <c r="I5" i="2" s="1"/>
  <c r="F4" i="2"/>
  <c r="I4" i="2" s="1"/>
  <c r="E9" i="1"/>
  <c r="D9" i="1"/>
  <c r="C9" i="1"/>
  <c r="B9" i="1"/>
  <c r="F8" i="1"/>
  <c r="F7" i="1"/>
  <c r="F6" i="1"/>
  <c r="F5" i="1"/>
  <c r="F4" i="1"/>
  <c r="I4" i="1" l="1"/>
  <c r="G4" i="1"/>
  <c r="H4" i="1" s="1"/>
  <c r="I5" i="1"/>
  <c r="G5" i="1"/>
  <c r="H5" i="1" s="1"/>
  <c r="I6" i="1"/>
  <c r="G6" i="1"/>
  <c r="H6" i="1" s="1"/>
  <c r="I7" i="1"/>
  <c r="G7" i="1"/>
  <c r="H7" i="1" s="1"/>
  <c r="I8" i="1"/>
  <c r="G8" i="1"/>
  <c r="G23" i="1"/>
  <c r="J4" i="5"/>
  <c r="M11" i="5"/>
  <c r="G80" i="5" s="1"/>
  <c r="G79" i="5" s="1"/>
  <c r="F77" i="5" s="1"/>
  <c r="G63" i="1"/>
  <c r="AF46" i="5"/>
  <c r="P5" i="2"/>
  <c r="G7" i="2"/>
  <c r="H7" i="2" s="1"/>
  <c r="F9" i="2"/>
  <c r="G9" i="2" s="1"/>
  <c r="G6" i="2"/>
  <c r="H6" i="2" s="1"/>
  <c r="I8" i="2"/>
  <c r="I9" i="2"/>
  <c r="P4" i="2" s="1"/>
  <c r="G5" i="2"/>
  <c r="H5" i="2" s="1"/>
  <c r="G4" i="2"/>
  <c r="H4" i="2" s="1"/>
  <c r="H8" i="1"/>
  <c r="F9" i="1"/>
  <c r="G9" i="1" s="1"/>
  <c r="P6" i="2" l="1"/>
  <c r="H9" i="2"/>
  <c r="H9" i="1"/>
  <c r="I9" i="1"/>
</calcChain>
</file>

<file path=xl/sharedStrings.xml><?xml version="1.0" encoding="utf-8"?>
<sst xmlns="http://schemas.openxmlformats.org/spreadsheetml/2006/main" count="511" uniqueCount="132">
  <si>
    <t>DAILY CREW MONITORING</t>
  </si>
  <si>
    <t>MAY</t>
  </si>
  <si>
    <t>Count of Crew</t>
  </si>
  <si>
    <t>Effective Personnel  Count</t>
  </si>
  <si>
    <t>Effective Monthly Capability</t>
  </si>
  <si>
    <t>Effective Weekly Capability</t>
  </si>
  <si>
    <t>Effective Daily Capabiity</t>
  </si>
  <si>
    <t>CONTRACTOR</t>
  </si>
  <si>
    <t>Basket</t>
  </si>
  <si>
    <t>Stake</t>
  </si>
  <si>
    <t>Trucco</t>
  </si>
  <si>
    <t>Crane</t>
  </si>
  <si>
    <t>AVECO</t>
  </si>
  <si>
    <t>CHALLENGER</t>
  </si>
  <si>
    <t>ECOM</t>
  </si>
  <si>
    <t>POWERHOUSE</t>
  </si>
  <si>
    <t>VJC</t>
  </si>
  <si>
    <t>TOTAL</t>
  </si>
  <si>
    <t>calculate total duty mhrs for the day</t>
  </si>
  <si>
    <t>DATE</t>
  </si>
  <si>
    <t>CCBC</t>
  </si>
  <si>
    <t>PH</t>
  </si>
  <si>
    <t>Remarks, if incomplete crew</t>
  </si>
  <si>
    <t>Aveco assigned to C2</t>
  </si>
  <si>
    <t>Powerhouse-C2 po Muna habol lang sa preparation Ng pai sa marina</t>
  </si>
  <si>
    <t>Powerhouse-c/o C2; 1 BT &amp; 1 ST of VJC - assist sa Pasig PAI</t>
  </si>
  <si>
    <t>Aveco, Powerhouse, CCBC c/o C2. VJC no duty teambuilding</t>
  </si>
  <si>
    <t>VJC no duty teambuilding. Powerhouse konti pumasok tao at napalaban kahapon sa pai</t>
  </si>
  <si>
    <t>VJC with C2 duty 2BT and hauler</t>
  </si>
  <si>
    <t>1 Aveco BT assigned to MN; VJC crane assist to Pasig sector</t>
  </si>
  <si>
    <t>VJC 2 BTc/o C2 &amp; crane assist to Pasig sector; Aveco ST assigned to MN</t>
  </si>
  <si>
    <t>CCBC with night duty</t>
  </si>
  <si>
    <t>PH no duty, galing 3rd shift; 1 VJC BT - assigned to C2</t>
  </si>
  <si>
    <t>JUNE</t>
  </si>
  <si>
    <t>NO SIGN-ON. DAY OFF ALL?</t>
  </si>
  <si>
    <t>VJC DAYOFF, AVECO dissolved po yung mga basket namin dahil late ang mga lineman sa safety meeting po</t>
  </si>
  <si>
    <t>VJC STAKE TRUCK &amp; CRANE ASSIST PASIG SECTOR; PH basket and crane truck namin ay currently may truck trouble; AVECO w/ C2 WORKS 2 LOCATION EMC &amp; RECONDUCTORING</t>
  </si>
  <si>
    <t>VJC CRANE ASSIST PASIG SECTOR; POWERHOUSE cancelled duty due to crane trouble &amp; redirected to the Estrada compound — doon po sa nasunugan</t>
  </si>
  <si>
    <t>PH wala po pasok ang mga basket digging lang patrabaho; AVECO , ECOM &amp; CCBC no duty holiday;</t>
  </si>
  <si>
    <t>AVECO w/ MN work diging works</t>
  </si>
  <si>
    <t>DAY OFF</t>
  </si>
  <si>
    <t>ECOM &amp; VJC NO SIGN ON/ NO DUTY?</t>
  </si>
  <si>
    <t>AVECO C2 DUTY 1ST &amp; MN DUTY 1BT AT 1ST; POWERHOUSE TRUCK TROUBLE;</t>
  </si>
  <si>
    <t>AVECO, ECOM, CCBC, POWERHOUSE NO DUTY HOLIDAY</t>
  </si>
  <si>
    <t xml:space="preserve">C2 and MN </t>
  </si>
  <si>
    <t>AVECO C2 NIGHT DUTY  &amp; MN DUTY 1BT AT 1ST;</t>
  </si>
  <si>
    <t>June 1-13</t>
  </si>
  <si>
    <t>PH All Crew po ay nasa OTBT; AVECO no duty in C1</t>
  </si>
  <si>
    <t>VJC DAYOFF;  PH 1 BASKET TRUCK TROUBLE</t>
  </si>
  <si>
    <t>PH- All Crew po nasa C2 Interuption,  CCBC- C1 Crew Assist C2, AVECO- DIGGING CREW(8)</t>
  </si>
  <si>
    <t>VJC- DIGGING CREW; PH- ASSIST MAINTENANCE POLE-DOWN; CCBC- NO DUTY; ECOM- LAGUNA DAY/NO DUTY</t>
  </si>
  <si>
    <t>AVECO DIGGING CREW ONLY, W/C2 WORKS 1BT 1ST;</t>
  </si>
  <si>
    <t>AVECO NIGHT DUTY</t>
  </si>
  <si>
    <t>PH NO DUTY- galing operation crew; CCBC NO DUTY; AVECO Digging Crew</t>
  </si>
  <si>
    <t>AVECO- DIGGING CREW</t>
  </si>
  <si>
    <t>AVECO - mostly assigned to C2, galing panggabi, PH backjob correction assignment only</t>
  </si>
  <si>
    <t>PH No duty galing panggabi</t>
  </si>
  <si>
    <t xml:space="preserve">AVECO digging crew only; VJC 1 BASKET / CRANE / BOOMTRUCK ASSIST PASIG SECTOR PAI; </t>
  </si>
  <si>
    <t>Ecom no duty; PH no duty due to 2 BT truck trouble</t>
  </si>
  <si>
    <t>JULY</t>
  </si>
  <si>
    <t>ECOM no duty (no reason mentioned)</t>
  </si>
  <si>
    <t>ECOM withdrawal and return only</t>
  </si>
  <si>
    <t>PH no saturday duty</t>
  </si>
  <si>
    <t>ECOM Operations duty only;</t>
  </si>
  <si>
    <t>AVECO no duty; VJC 1-Auger(2)</t>
  </si>
  <si>
    <t>VJC sunday duty</t>
  </si>
  <si>
    <t>VJC no duty/ day off, sunday duty</t>
  </si>
  <si>
    <t>ECOM night duty (ops caution)</t>
  </si>
  <si>
    <t>ECOM night duty</t>
  </si>
  <si>
    <t>VJC night duty; AVECO 1BT Trouble, trucco and crane in dasma.; CCBC Magsauli lng po trucco, ung crane nasa c2 po; ECOM craine at trucco under repair starter</t>
  </si>
  <si>
    <t>AVECO digging crew only; ECOM  NO DUTY SADANG:"Negative today..."</t>
  </si>
  <si>
    <t>ECOM no duty; VJC no duty</t>
  </si>
  <si>
    <t>Day off , all crew no duty</t>
  </si>
  <si>
    <t>AVECO digging crew only; CCBC no duty  no duty; PH "LIMUEL: C1 Crew Assist Operation po today" due to typhoon; VJC - backjob correction</t>
  </si>
  <si>
    <t>AVECO no duty due to weather; CCBC no duty due to weather; ECOM no duty due to weather</t>
  </si>
  <si>
    <t>ECOM  no duty</t>
  </si>
  <si>
    <t>CCBC assist to OPS</t>
  </si>
  <si>
    <t>Sunday Day off no crew on duty</t>
  </si>
  <si>
    <t>AVECO digging crew only; CCBC no duty.</t>
  </si>
  <si>
    <t>VJC withdraw and return materials only.</t>
  </si>
  <si>
    <t>AVECO morning and night duty; CCBC no duty</t>
  </si>
  <si>
    <t>AVECO Digging crew only; CCBC no duty; ECOM no duty; VJC night duty (caution)</t>
  </si>
  <si>
    <t>AUGUST</t>
  </si>
  <si>
    <t xml:space="preserve">AVECO C2 and MAINT duty only; CCBC </t>
  </si>
  <si>
    <t>CCBC &amp; ECOM No duty</t>
  </si>
  <si>
    <t>AVECO C2 and MAINT duty only; CCBC no sign-on</t>
  </si>
  <si>
    <t>AVECO digging crew</t>
  </si>
  <si>
    <t>VJC night duty PAI Interruption</t>
  </si>
  <si>
    <t>AVECO night duty 8/7; no sign-on</t>
  </si>
  <si>
    <t>CCBC no duty</t>
  </si>
  <si>
    <t>Sunday (All crew day off)</t>
  </si>
  <si>
    <t>CCBC Backjobs and truck testing.</t>
  </si>
  <si>
    <t>VJC 1-AUGER(2)</t>
  </si>
  <si>
    <t>VJC Night duty assist PAI (C2)</t>
  </si>
  <si>
    <t>VJC 1-AUGER(2); ECOM night duty</t>
  </si>
  <si>
    <t>CCBC Duty Back job (C2)</t>
  </si>
  <si>
    <t>VJC Day off</t>
  </si>
  <si>
    <t>ECOM No duty</t>
  </si>
  <si>
    <t>TOTAL CAPABILITY FOR MAY</t>
  </si>
  <si>
    <t>May 1-21</t>
  </si>
  <si>
    <t>fixed cap</t>
  </si>
  <si>
    <t>May 22-31</t>
  </si>
  <si>
    <t>daily monitoring</t>
  </si>
  <si>
    <t>Effective Personnel Count</t>
  </si>
  <si>
    <t>Crew Capability</t>
  </si>
  <si>
    <t>ACTUAL CAPABILITY FOR JUNE</t>
  </si>
  <si>
    <t>June 14-30</t>
  </si>
  <si>
    <t>C2</t>
  </si>
  <si>
    <t>MN</t>
  </si>
  <si>
    <t>C1 ONLY</t>
  </si>
  <si>
    <t>ACCOMPLISHMENT</t>
  </si>
  <si>
    <t xml:space="preserve"> CAPABILITY</t>
  </si>
  <si>
    <t>% PRODUCTIVITY (JUNE)</t>
  </si>
  <si>
    <t>% TOTAL PRODUCTIVITY</t>
  </si>
  <si>
    <t>YTD ACCOMPLISHMENT</t>
  </si>
  <si>
    <t>YTD CAPABILITY</t>
  </si>
  <si>
    <t>PER CREW</t>
  </si>
  <si>
    <t>REMAINING</t>
  </si>
  <si>
    <t>DAYS</t>
  </si>
  <si>
    <t>MH</t>
  </si>
  <si>
    <t>&lt; TOTAL</t>
  </si>
  <si>
    <t>NO DUTY</t>
  </si>
  <si>
    <t>ASSIST TO OTHER SECTOR</t>
  </si>
  <si>
    <t>PH TRUCK TROUBLE</t>
  </si>
  <si>
    <t>HOLIDAY</t>
  </si>
  <si>
    <t>AVECO C2 &amp; MN ASSIGNMENT</t>
  </si>
  <si>
    <t>OTBT</t>
  </si>
  <si>
    <t>PH ASSIST TO OPS</t>
  </si>
  <si>
    <t>C2 PAI</t>
  </si>
  <si>
    <t>BACKJOB CORRECTION</t>
  </si>
  <si>
    <t>ACTUAL CAPABILITY FOR JULY</t>
  </si>
  <si>
    <t>ACTUAL CAPABILITY FOR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</si>
</sst>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_);_(* \(#,##0.00\);_(* &quot;-&quot;????_);_(@_)"/>
    <numFmt numFmtId="165" formatCode="[$-F800]dddd\,\ mmmm\ dd\,\ yyyy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0">
    <xf numFmtId="0" fontId="0" fillId="0" borderId="0" xfId="0"/>
    <xf numFmtId="0" fontId="4" fillId="0" borderId="13" xfId="1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164" fontId="0" fillId="0" borderId="15" xfId="0" applyNumberFormat="1" applyBorder="1" applyAlignment="1">
      <alignment vertical="center"/>
    </xf>
    <xf numFmtId="0" fontId="0" fillId="0" borderId="17" xfId="1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17" xfId="1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21" xfId="1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25" xfId="1" applyNumberFormat="1" applyFont="1" applyBorder="1" applyAlignment="1">
      <alignment horizontal="center" vertical="center"/>
    </xf>
    <xf numFmtId="0" fontId="0" fillId="0" borderId="24" xfId="1" applyNumberFormat="1" applyFont="1" applyBorder="1" applyAlignment="1">
      <alignment horizontal="center" vertical="center"/>
    </xf>
    <xf numFmtId="164" fontId="0" fillId="0" borderId="26" xfId="0" applyNumberFormat="1" applyBorder="1" applyAlignment="1">
      <alignment vertical="center"/>
    </xf>
    <xf numFmtId="43" fontId="0" fillId="0" borderId="14" xfId="0" applyNumberFormat="1" applyBorder="1"/>
    <xf numFmtId="43" fontId="0" fillId="0" borderId="18" xfId="0" applyNumberFormat="1" applyBorder="1"/>
    <xf numFmtId="43" fontId="0" fillId="0" borderId="22" xfId="0" applyNumberFormat="1" applyBorder="1"/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165" fontId="6" fillId="2" borderId="27" xfId="0" applyNumberFormat="1" applyFont="1" applyFill="1" applyBorder="1" applyAlignment="1">
      <alignment horizontal="center" vertical="center"/>
    </xf>
    <xf numFmtId="165" fontId="7" fillId="3" borderId="5" xfId="0" applyNumberFormat="1" applyFont="1" applyFill="1" applyBorder="1" applyAlignment="1">
      <alignment horizontal="center" vertical="center"/>
    </xf>
    <xf numFmtId="165" fontId="0" fillId="0" borderId="12" xfId="0" applyNumberFormat="1" applyBorder="1"/>
    <xf numFmtId="165" fontId="0" fillId="0" borderId="16" xfId="0" applyNumberFormat="1" applyBorder="1"/>
    <xf numFmtId="165" fontId="0" fillId="0" borderId="20" xfId="0" applyNumberFormat="1" applyBorder="1"/>
    <xf numFmtId="165" fontId="2" fillId="0" borderId="24" xfId="0" applyNumberFormat="1" applyFont="1" applyBorder="1"/>
    <xf numFmtId="0" fontId="0" fillId="5" borderId="0" xfId="0" applyFill="1"/>
    <xf numFmtId="165" fontId="0" fillId="5" borderId="0" xfId="0" applyNumberFormat="1" applyFill="1"/>
    <xf numFmtId="165" fontId="2" fillId="5" borderId="24" xfId="0" applyNumberFormat="1" applyFont="1" applyFill="1" applyBorder="1" applyAlignment="1">
      <alignment horizontal="center" vertical="center" wrapText="1"/>
    </xf>
    <xf numFmtId="165" fontId="0" fillId="5" borderId="31" xfId="0" applyNumberFormat="1" applyFill="1" applyBorder="1"/>
    <xf numFmtId="165" fontId="0" fillId="5" borderId="32" xfId="0" applyNumberFormat="1" applyFill="1" applyBorder="1"/>
    <xf numFmtId="0" fontId="10" fillId="0" borderId="13" xfId="1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7" xfId="1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1" xfId="1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3" fillId="5" borderId="0" xfId="0" applyNumberFormat="1" applyFont="1" applyFill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3" fontId="0" fillId="0" borderId="34" xfId="1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2" fillId="0" borderId="24" xfId="0" applyFont="1" applyBorder="1" applyAlignment="1">
      <alignment vertical="center"/>
    </xf>
    <xf numFmtId="164" fontId="0" fillId="0" borderId="28" xfId="0" applyNumberFormat="1" applyBorder="1" applyAlignment="1">
      <alignment vertical="center"/>
    </xf>
    <xf numFmtId="0" fontId="10" fillId="0" borderId="6" xfId="1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3" fontId="0" fillId="5" borderId="0" xfId="0" applyNumberFormat="1" applyFill="1"/>
    <xf numFmtId="43" fontId="2" fillId="5" borderId="0" xfId="0" applyNumberFormat="1" applyFont="1" applyFill="1"/>
    <xf numFmtId="0" fontId="14" fillId="5" borderId="0" xfId="0" applyFont="1" applyFill="1"/>
    <xf numFmtId="43" fontId="13" fillId="5" borderId="0" xfId="0" applyNumberFormat="1" applyFont="1" applyFill="1"/>
    <xf numFmtId="0" fontId="2" fillId="0" borderId="25" xfId="1" applyNumberFormat="1" applyFont="1" applyBorder="1" applyAlignment="1">
      <alignment horizontal="center" vertical="center"/>
    </xf>
    <xf numFmtId="0" fontId="2" fillId="0" borderId="24" xfId="1" applyNumberFormat="1" applyFont="1" applyBorder="1" applyAlignment="1">
      <alignment horizontal="center" vertical="center"/>
    </xf>
    <xf numFmtId="164" fontId="2" fillId="0" borderId="26" xfId="0" applyNumberFormat="1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164" fontId="10" fillId="6" borderId="28" xfId="0" applyNumberFormat="1" applyFont="1" applyFill="1" applyBorder="1" applyAlignment="1">
      <alignment horizontal="center" vertical="center"/>
    </xf>
    <xf numFmtId="164" fontId="10" fillId="6" borderId="15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4" fontId="10" fillId="6" borderId="10" xfId="0" applyNumberFormat="1" applyFont="1" applyFill="1" applyBorder="1" applyAlignment="1">
      <alignment horizontal="center" vertical="center"/>
    </xf>
    <xf numFmtId="164" fontId="10" fillId="6" borderId="46" xfId="0" applyNumberFormat="1" applyFont="1" applyFill="1" applyBorder="1" applyAlignment="1">
      <alignment horizontal="center" vertical="center"/>
    </xf>
    <xf numFmtId="43" fontId="0" fillId="5" borderId="42" xfId="0" applyNumberFormat="1" applyFill="1" applyBorder="1"/>
    <xf numFmtId="10" fontId="12" fillId="5" borderId="0" xfId="2" applyNumberFormat="1" applyFont="1" applyFill="1"/>
    <xf numFmtId="0" fontId="17" fillId="5" borderId="0" xfId="0" applyFont="1" applyFill="1"/>
    <xf numFmtId="0" fontId="19" fillId="4" borderId="6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43" fontId="14" fillId="8" borderId="5" xfId="0" applyNumberFormat="1" applyFont="1" applyFill="1" applyBorder="1" applyAlignment="1">
      <alignment horizontal="center" vertical="center"/>
    </xf>
    <xf numFmtId="165" fontId="15" fillId="5" borderId="0" xfId="0" applyNumberFormat="1" applyFont="1" applyFill="1"/>
    <xf numFmtId="165" fontId="2" fillId="5" borderId="0" xfId="0" applyNumberFormat="1" applyFont="1" applyFill="1"/>
    <xf numFmtId="0" fontId="0" fillId="5" borderId="41" xfId="1" applyNumberFormat="1" applyFont="1" applyFill="1" applyBorder="1" applyAlignment="1">
      <alignment horizontal="center" vertical="center"/>
    </xf>
    <xf numFmtId="0" fontId="0" fillId="5" borderId="41" xfId="0" applyFill="1" applyBorder="1" applyAlignment="1">
      <alignment vertical="center"/>
    </xf>
    <xf numFmtId="164" fontId="0" fillId="5" borderId="41" xfId="0" applyNumberFormat="1" applyFill="1" applyBorder="1" applyAlignment="1">
      <alignment vertical="center"/>
    </xf>
    <xf numFmtId="164" fontId="0" fillId="5" borderId="0" xfId="0" applyNumberFormat="1" applyFill="1" applyAlignment="1">
      <alignment vertical="center"/>
    </xf>
    <xf numFmtId="0" fontId="10" fillId="5" borderId="0" xfId="1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vertical="center"/>
    </xf>
    <xf numFmtId="164" fontId="11" fillId="5" borderId="0" xfId="0" applyNumberFormat="1" applyFont="1" applyFill="1" applyAlignment="1">
      <alignment vertical="center"/>
    </xf>
    <xf numFmtId="43" fontId="0" fillId="0" borderId="34" xfId="1" applyFont="1" applyBorder="1" applyAlignment="1">
      <alignment horizontal="center" vertical="center"/>
    </xf>
    <xf numFmtId="43" fontId="0" fillId="0" borderId="35" xfId="1" applyFont="1" applyBorder="1" applyAlignment="1">
      <alignment horizontal="center" vertical="center"/>
    </xf>
    <xf numFmtId="0" fontId="0" fillId="5" borderId="29" xfId="1" applyNumberFormat="1" applyFont="1" applyFill="1" applyBorder="1" applyAlignment="1">
      <alignment horizontal="center" vertical="center"/>
    </xf>
    <xf numFmtId="0" fontId="0" fillId="5" borderId="29" xfId="0" applyFill="1" applyBorder="1" applyAlignment="1">
      <alignment vertical="center"/>
    </xf>
    <xf numFmtId="164" fontId="0" fillId="5" borderId="29" xfId="0" applyNumberFormat="1" applyFill="1" applyBorder="1" applyAlignment="1">
      <alignment vertical="center"/>
    </xf>
    <xf numFmtId="0" fontId="10" fillId="5" borderId="0" xfId="1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64" fontId="10" fillId="5" borderId="0" xfId="0" applyNumberFormat="1" applyFont="1" applyFill="1" applyAlignment="1">
      <alignment vertical="center"/>
    </xf>
    <xf numFmtId="43" fontId="2" fillId="5" borderId="13" xfId="1" applyFont="1" applyFill="1" applyBorder="1" applyAlignment="1">
      <alignment horizontal="center" vertical="center"/>
    </xf>
    <xf numFmtId="43" fontId="2" fillId="5" borderId="14" xfId="1" applyFont="1" applyFill="1" applyBorder="1" applyAlignment="1">
      <alignment horizontal="center" vertical="center"/>
    </xf>
    <xf numFmtId="43" fontId="2" fillId="0" borderId="28" xfId="1" applyFont="1" applyBorder="1" applyAlignment="1">
      <alignment horizontal="center" vertical="center"/>
    </xf>
    <xf numFmtId="0" fontId="0" fillId="5" borderId="0" xfId="0" applyFill="1" applyAlignment="1">
      <alignment vertical="center"/>
    </xf>
    <xf numFmtId="43" fontId="10" fillId="5" borderId="0" xfId="0" applyNumberFormat="1" applyFont="1" applyFill="1" applyAlignment="1">
      <alignment vertical="center"/>
    </xf>
    <xf numFmtId="43" fontId="14" fillId="8" borderId="26" xfId="0" applyNumberFormat="1" applyFont="1" applyFill="1" applyBorder="1" applyAlignment="1">
      <alignment horizontal="center" vertical="center"/>
    </xf>
    <xf numFmtId="10" fontId="12" fillId="5" borderId="0" xfId="2" applyNumberFormat="1" applyFont="1" applyFill="1" applyBorder="1"/>
    <xf numFmtId="43" fontId="11" fillId="5" borderId="0" xfId="0" applyNumberFormat="1" applyFont="1" applyFill="1"/>
    <xf numFmtId="43" fontId="2" fillId="5" borderId="47" xfId="1" applyFont="1" applyFill="1" applyBorder="1" applyAlignment="1">
      <alignment horizontal="center" vertical="center"/>
    </xf>
    <xf numFmtId="43" fontId="2" fillId="0" borderId="10" xfId="1" applyFont="1" applyBorder="1" applyAlignment="1">
      <alignment horizontal="center" vertical="center"/>
    </xf>
    <xf numFmtId="43" fontId="2" fillId="5" borderId="40" xfId="1" applyFont="1" applyFill="1" applyBorder="1" applyAlignment="1">
      <alignment horizontal="center" vertical="center"/>
    </xf>
    <xf numFmtId="43" fontId="2" fillId="5" borderId="48" xfId="1" applyFont="1" applyFill="1" applyBorder="1" applyAlignment="1">
      <alignment horizontal="center" vertical="center"/>
    </xf>
    <xf numFmtId="165" fontId="2" fillId="5" borderId="27" xfId="0" applyNumberFormat="1" applyFont="1" applyFill="1" applyBorder="1" applyAlignment="1">
      <alignment horizontal="center" vertical="center" wrapText="1"/>
    </xf>
    <xf numFmtId="165" fontId="0" fillId="5" borderId="5" xfId="0" applyNumberFormat="1" applyFill="1" applyBorder="1"/>
    <xf numFmtId="165" fontId="0" fillId="5" borderId="45" xfId="0" applyNumberFormat="1" applyFill="1" applyBorder="1"/>
    <xf numFmtId="165" fontId="0" fillId="5" borderId="11" xfId="0" applyNumberFormat="1" applyFill="1" applyBorder="1"/>
    <xf numFmtId="164" fontId="0" fillId="5" borderId="0" xfId="0" applyNumberFormat="1" applyFill="1"/>
    <xf numFmtId="4" fontId="10" fillId="5" borderId="0" xfId="0" applyNumberFormat="1" applyFont="1" applyFill="1" applyAlignment="1">
      <alignment horizontal="center" vertical="center"/>
    </xf>
    <xf numFmtId="43" fontId="10" fillId="5" borderId="0" xfId="0" applyNumberFormat="1" applyFont="1" applyFill="1" applyAlignment="1">
      <alignment horizontal="center" vertical="center"/>
    </xf>
    <xf numFmtId="10" fontId="10" fillId="5" borderId="0" xfId="2" applyNumberFormat="1" applyFont="1" applyFill="1" applyBorder="1" applyAlignment="1">
      <alignment horizontal="center" vertical="center"/>
    </xf>
    <xf numFmtId="165" fontId="2" fillId="0" borderId="32" xfId="0" applyNumberFormat="1" applyFont="1" applyBorder="1"/>
    <xf numFmtId="0" fontId="2" fillId="0" borderId="9" xfId="1" applyNumberFormat="1" applyFont="1" applyBorder="1" applyAlignment="1">
      <alignment horizontal="center" vertical="center"/>
    </xf>
    <xf numFmtId="0" fontId="2" fillId="0" borderId="32" xfId="1" applyNumberFormat="1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165" fontId="0" fillId="0" borderId="18" xfId="0" applyNumberFormat="1" applyBorder="1"/>
    <xf numFmtId="0" fontId="4" fillId="0" borderId="18" xfId="1" applyNumberFormat="1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164" fontId="0" fillId="0" borderId="18" xfId="0" applyNumberFormat="1" applyBorder="1" applyAlignment="1">
      <alignment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0" fillId="0" borderId="18" xfId="1" applyNumberFormat="1" applyFont="1" applyBorder="1" applyAlignment="1">
      <alignment horizontal="center" vertical="center"/>
    </xf>
    <xf numFmtId="0" fontId="5" fillId="0" borderId="18" xfId="1" applyNumberFormat="1" applyFont="1" applyBorder="1" applyAlignment="1">
      <alignment horizontal="center" vertical="center"/>
    </xf>
    <xf numFmtId="164" fontId="17" fillId="5" borderId="0" xfId="0" applyNumberFormat="1" applyFont="1" applyFill="1"/>
    <xf numFmtId="10" fontId="0" fillId="5" borderId="0" xfId="2" applyNumberFormat="1" applyFont="1" applyFill="1"/>
    <xf numFmtId="4" fontId="0" fillId="5" borderId="0" xfId="0" applyNumberFormat="1" applyFill="1"/>
    <xf numFmtId="0" fontId="2" fillId="5" borderId="0" xfId="0" applyFont="1" applyFill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43" fontId="20" fillId="3" borderId="22" xfId="1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49" xfId="0" applyFont="1" applyFill="1" applyBorder="1" applyAlignment="1">
      <alignment horizontal="center" vertical="center" wrapText="1"/>
    </xf>
    <xf numFmtId="43" fontId="0" fillId="5" borderId="0" xfId="1" applyFont="1" applyFill="1"/>
    <xf numFmtId="0" fontId="2" fillId="5" borderId="0" xfId="0" applyFont="1" applyFill="1"/>
    <xf numFmtId="0" fontId="0" fillId="5" borderId="0" xfId="0" applyFill="1" applyAlignment="1">
      <alignment horizontal="center" vertical="center"/>
    </xf>
    <xf numFmtId="43" fontId="0" fillId="5" borderId="0" xfId="1" applyFont="1" applyFill="1" applyAlignment="1">
      <alignment horizontal="center" vertical="center"/>
    </xf>
    <xf numFmtId="0" fontId="10" fillId="0" borderId="50" xfId="1" applyNumberFormat="1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64" fontId="10" fillId="6" borderId="44" xfId="0" applyNumberFormat="1" applyFont="1" applyFill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165" fontId="0" fillId="5" borderId="50" xfId="0" applyNumberFormat="1" applyFill="1" applyBorder="1"/>
    <xf numFmtId="164" fontId="14" fillId="5" borderId="0" xfId="0" applyNumberFormat="1" applyFont="1" applyFill="1"/>
    <xf numFmtId="43" fontId="14" fillId="8" borderId="11" xfId="0" applyNumberFormat="1" applyFont="1" applyFill="1" applyBorder="1" applyAlignment="1">
      <alignment horizontal="center" vertical="center"/>
    </xf>
    <xf numFmtId="0" fontId="10" fillId="0" borderId="40" xfId="1" applyNumberFormat="1" applyFont="1" applyBorder="1" applyAlignment="1">
      <alignment horizontal="center" vertical="center"/>
    </xf>
    <xf numFmtId="0" fontId="10" fillId="0" borderId="53" xfId="1" applyNumberFormat="1" applyFont="1" applyBorder="1" applyAlignment="1">
      <alignment horizontal="center" vertical="center"/>
    </xf>
    <xf numFmtId="0" fontId="10" fillId="0" borderId="54" xfId="1" applyNumberFormat="1" applyFont="1" applyBorder="1" applyAlignment="1">
      <alignment horizontal="center" vertical="center"/>
    </xf>
    <xf numFmtId="0" fontId="10" fillId="0" borderId="52" xfId="1" applyNumberFormat="1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164" fontId="10" fillId="6" borderId="56" xfId="0" applyNumberFormat="1" applyFont="1" applyFill="1" applyBorder="1" applyAlignment="1">
      <alignment horizontal="right" vertical="center"/>
    </xf>
    <xf numFmtId="0" fontId="10" fillId="0" borderId="36" xfId="0" applyFont="1" applyBorder="1" applyAlignment="1">
      <alignment horizontal="center" vertical="center"/>
    </xf>
    <xf numFmtId="164" fontId="10" fillId="6" borderId="38" xfId="0" applyNumberFormat="1" applyFont="1" applyFill="1" applyBorder="1" applyAlignment="1">
      <alignment horizontal="center" vertical="center"/>
    </xf>
    <xf numFmtId="164" fontId="10" fillId="6" borderId="56" xfId="0" applyNumberFormat="1" applyFont="1" applyFill="1" applyBorder="1" applyAlignment="1">
      <alignment horizontal="center" vertical="center"/>
    </xf>
    <xf numFmtId="164" fontId="10" fillId="6" borderId="57" xfId="0" applyNumberFormat="1" applyFont="1" applyFill="1" applyBorder="1" applyAlignment="1">
      <alignment horizontal="center" vertical="center"/>
    </xf>
    <xf numFmtId="164" fontId="10" fillId="6" borderId="58" xfId="0" applyNumberFormat="1" applyFont="1" applyFill="1" applyBorder="1" applyAlignment="1">
      <alignment horizontal="center" vertical="center"/>
    </xf>
    <xf numFmtId="164" fontId="10" fillId="6" borderId="59" xfId="0" applyNumberFormat="1" applyFont="1" applyFill="1" applyBorder="1" applyAlignment="1">
      <alignment horizontal="center" vertical="center"/>
    </xf>
    <xf numFmtId="165" fontId="12" fillId="5" borderId="0" xfId="0" applyNumberFormat="1" applyFont="1" applyFill="1"/>
    <xf numFmtId="0" fontId="12" fillId="5" borderId="0" xfId="0" applyFont="1" applyFill="1"/>
    <xf numFmtId="43" fontId="2" fillId="5" borderId="0" xfId="1" applyFont="1" applyFill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60" xfId="0" applyFill="1" applyBorder="1"/>
    <xf numFmtId="165" fontId="0" fillId="5" borderId="55" xfId="0" applyNumberFormat="1" applyFill="1" applyBorder="1"/>
    <xf numFmtId="165" fontId="7" fillId="3" borderId="26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9" fillId="4" borderId="39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16" fillId="5" borderId="29" xfId="0" applyFont="1" applyFill="1" applyBorder="1" applyAlignment="1">
      <alignment horizontal="center" vertical="center"/>
    </xf>
    <xf numFmtId="0" fontId="16" fillId="5" borderId="30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/>
    </xf>
    <xf numFmtId="0" fontId="18" fillId="7" borderId="45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9" fillId="4" borderId="42" xfId="0" applyFont="1" applyFill="1" applyBorder="1" applyAlignment="1">
      <alignment horizontal="center" vertical="center"/>
    </xf>
    <xf numFmtId="0" fontId="19" fillId="4" borderId="43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VENDOR</a:t>
            </a:r>
            <a:r>
              <a:rPr lang="en-US" b="1" baseline="0"/>
              <a:t> PRODUCTIVITY</a:t>
            </a:r>
          </a:p>
          <a:p>
            <a:pPr>
              <a:defRPr b="1"/>
            </a:pPr>
            <a:r>
              <a:rPr lang="en-US" b="1" baseline="0"/>
              <a:t>(June 1 - 30,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'JUNE 2025'!$E$51</c:f>
              <c:strCache>
                <c:ptCount val="1"/>
                <c:pt idx="0">
                  <c:v> CAPABILITY</c:v>
                </c:pt>
              </c:strCache>
            </c:strRef>
          </c:tx>
          <c:spPr>
            <a:solidFill>
              <a:schemeClr val="accent3">
                <a:alpha val="6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'JUNE 2025'!$C$52:$C$56</c:f>
              <c:strCache>
                <c:ptCount val="5"/>
                <c:pt idx="0">
                  <c:v>AVECO</c:v>
                </c:pt>
                <c:pt idx="1">
                  <c:v>CHALLENGER</c:v>
                </c:pt>
                <c:pt idx="2">
                  <c:v>ECOM</c:v>
                </c:pt>
                <c:pt idx="3">
                  <c:v>POWERHOUSE</c:v>
                </c:pt>
                <c:pt idx="4">
                  <c:v>VJC</c:v>
                </c:pt>
              </c:strCache>
            </c:strRef>
          </c:cat>
          <c:val>
            <c:numRef>
              <c:f>'JUNE 2025'!$E$52:$E$56</c:f>
              <c:numCache>
                <c:formatCode>_(* #,##0.00_);_(* \(#,##0.00\);_(* "-"??_);_(@_)</c:formatCode>
                <c:ptCount val="5"/>
                <c:pt idx="0">
                  <c:v>850.64401205809816</c:v>
                </c:pt>
                <c:pt idx="1">
                  <c:v>1311.0441216771719</c:v>
                </c:pt>
                <c:pt idx="2">
                  <c:v>1245.2726774458756</c:v>
                </c:pt>
                <c:pt idx="3">
                  <c:v>929.56974513565353</c:v>
                </c:pt>
                <c:pt idx="4">
                  <c:v>1284.7355439846533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3F-46A0-96F2-F4A8062CBA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5"/>
        <c:axId val="1654941808"/>
        <c:axId val="1654936816"/>
      </c:barChart>
      <c:barChart>
        <c:barDir val="col"/>
        <c:grouping val="clustered"/>
        <c:varyColors val="0"/>
        <c:ser>
          <c:idx val="0"/>
          <c:order val="0"/>
          <c:tx>
            <c:strRef>
              <c:f>'JUNE 2025'!$D$51</c:f>
              <c:strCache>
                <c:ptCount val="1"/>
                <c:pt idx="0">
                  <c:v>ACCOMPLISHMENT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FDA3DF4-ECFD-4F08-AAEE-02E8FCEE429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83F-46A0-96F2-F4A8062CBA4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406CC9-DBD3-412B-B99A-0058E1E80E5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83F-46A0-96F2-F4A8062CBA4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60D3094-98F1-40C3-8727-7838727A0A9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83F-46A0-96F2-F4A8062CBA4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CE242DD-384F-4E5B-9E05-DDC1139FB9B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83F-46A0-96F2-F4A8062CBA4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72C9FB5-E825-416E-99FC-A5D74B4BAAB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83F-46A0-96F2-F4A8062CBA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'JUNE 2025'!$C$52:$C$56</c:f>
              <c:strCache>
                <c:ptCount val="5"/>
                <c:pt idx="0">
                  <c:v>AVECO</c:v>
                </c:pt>
                <c:pt idx="1">
                  <c:v>CHALLENGER</c:v>
                </c:pt>
                <c:pt idx="2">
                  <c:v>ECOM</c:v>
                </c:pt>
                <c:pt idx="3">
                  <c:v>POWERHOUSE</c:v>
                </c:pt>
                <c:pt idx="4">
                  <c:v>VJC</c:v>
                </c:pt>
              </c:strCache>
            </c:strRef>
          </c:cat>
          <c:val>
            <c:numRef>
              <c:f>'JUNE 2025'!$D$52:$D$56</c:f>
              <c:numCache>
                <c:formatCode>_(* #,##0.00_);_(* \(#,##0.00\);_(* "-"??_);_(@_)</c:formatCode>
                <c:ptCount val="5"/>
                <c:pt idx="0">
                  <c:v>644.47340000000008</c:v>
                </c:pt>
                <c:pt idx="1">
                  <c:v>1266.5906000000002</c:v>
                </c:pt>
                <c:pt idx="2">
                  <c:v>1014.3561</c:v>
                </c:pt>
                <c:pt idx="3">
                  <c:v>158.0069</c:v>
                </c:pt>
                <c:pt idx="4">
                  <c:v>1346.5678799999991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'JUNE 2025'!$F$52:$F$56</c15:f>
                <c15:dlblRangeCache>
                  <c:ptCount val="5"/>
                  <c:pt idx="0">
                    <c:v>75.76%</c:v>
                  </c:pt>
                  <c:pt idx="1">
                    <c:v>96.61%</c:v>
                  </c:pt>
                  <c:pt idx="2">
                    <c:v>81.46%</c:v>
                  </c:pt>
                  <c:pt idx="3">
                    <c:v>17.00%</c:v>
                  </c:pt>
                  <c:pt idx="4">
                    <c:v>104.81%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83F-46A0-96F2-F4A8062CBA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56333264"/>
        <c:axId val="2056332848"/>
      </c:barChart>
      <c:catAx>
        <c:axId val="165494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36816"/>
        <c:crosses val="autoZero"/>
        <c:auto val="1"/>
        <c:lblAlgn val="ctr"/>
        <c:lblOffset val="100"/>
        <c:noMultiLvlLbl val="0"/>
      </c:catAx>
      <c:valAx>
        <c:axId val="1654936816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654941808"/>
        <c:crosses val="autoZero"/>
        <c:crossBetween val="between"/>
      </c:valAx>
      <c:valAx>
        <c:axId val="2056332848"/>
        <c:scaling>
          <c:orientation val="minMax"/>
          <c:max val="1400"/>
        </c:scaling>
        <c:delete val="1"/>
        <c:axPos val="r"/>
        <c:numFmt formatCode="_(* #,##0.00_);_(* \(#,##0.00\);_(* &quot;-&quot;??_);_(@_)" sourceLinked="1"/>
        <c:majorTickMark val="out"/>
        <c:minorTickMark val="none"/>
        <c:tickLblPos val="nextTo"/>
        <c:crossAx val="2056333264"/>
        <c:crosses val="max"/>
        <c:crossBetween val="between"/>
      </c:valAx>
      <c:catAx>
        <c:axId val="2056333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633284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VENDOR</a:t>
            </a:r>
            <a:r>
              <a:rPr lang="en-US" b="1" baseline="0"/>
              <a:t> PRODUCTIVITY</a:t>
            </a:r>
          </a:p>
          <a:p>
            <a:pPr>
              <a:defRPr b="1"/>
            </a:pPr>
            <a:r>
              <a:rPr lang="en-US" b="1" baseline="0"/>
              <a:t>(July 1- 11,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'JUNE 2025'!$E$51</c:f>
              <c:strCache>
                <c:ptCount val="1"/>
                <c:pt idx="0">
                  <c:v> CAPABILITY</c:v>
                </c:pt>
              </c:strCache>
            </c:strRef>
          </c:tx>
          <c:spPr>
            <a:solidFill>
              <a:schemeClr val="accent3">
                <a:alpha val="6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'JUNE 2025'!$C$52:$C$56</c:f>
              <c:strCache>
                <c:ptCount val="5"/>
                <c:pt idx="0">
                  <c:v>AVECO</c:v>
                </c:pt>
                <c:pt idx="1">
                  <c:v>CHALLENGER</c:v>
                </c:pt>
                <c:pt idx="2">
                  <c:v>ECOM</c:v>
                </c:pt>
                <c:pt idx="3">
                  <c:v>POWERHOUSE</c:v>
                </c:pt>
                <c:pt idx="4">
                  <c:v>VJC</c:v>
                </c:pt>
              </c:strCache>
            </c:strRef>
          </c:cat>
          <c:val>
            <c:numRef>
              <c:f>'JUNE 2025'!$E$52:$E$56</c:f>
              <c:numCache>
                <c:formatCode>_(* #,##0.00_);_(* \(#,##0.00\);_(* "-"??_);_(@_)</c:formatCode>
                <c:ptCount val="5"/>
                <c:pt idx="0">
                  <c:v>850.64401205809816</c:v>
                </c:pt>
                <c:pt idx="1">
                  <c:v>1311.0441216771719</c:v>
                </c:pt>
                <c:pt idx="2">
                  <c:v>1245.2726774458756</c:v>
                </c:pt>
                <c:pt idx="3">
                  <c:v>929.56974513565353</c:v>
                </c:pt>
                <c:pt idx="4">
                  <c:v>1284.7355439846533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3-474D-A7CD-7C5096E638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5"/>
        <c:axId val="1654941808"/>
        <c:axId val="1654936816"/>
      </c:barChart>
      <c:barChart>
        <c:barDir val="col"/>
        <c:grouping val="clustered"/>
        <c:varyColors val="0"/>
        <c:ser>
          <c:idx val="0"/>
          <c:order val="0"/>
          <c:tx>
            <c:strRef>
              <c:f>'JUNE 2025'!$D$51</c:f>
              <c:strCache>
                <c:ptCount val="1"/>
                <c:pt idx="0">
                  <c:v>ACCOMPLISHMENT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0619CD3-5506-4E1B-A739-EFA4F071753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3D3-474D-A7CD-7C5096E6389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F1C6FDD-A2EE-451A-95DA-38030C62B9E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3D3-474D-A7CD-7C5096E6389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B1210FF-48A3-4B6A-BAB1-C439A81FB7A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3D3-474D-A7CD-7C5096E6389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C2A9FB4-5416-476E-89B4-5D810AD602D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3D3-474D-A7CD-7C5096E6389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5E1F3D7-BB5A-4D53-A82A-42D1378212D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3D3-474D-A7CD-7C5096E638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'JUNE 2025'!$C$52:$C$56</c:f>
              <c:strCache>
                <c:ptCount val="5"/>
                <c:pt idx="0">
                  <c:v>AVECO</c:v>
                </c:pt>
                <c:pt idx="1">
                  <c:v>CHALLENGER</c:v>
                </c:pt>
                <c:pt idx="2">
                  <c:v>ECOM</c:v>
                </c:pt>
                <c:pt idx="3">
                  <c:v>POWERHOUSE</c:v>
                </c:pt>
                <c:pt idx="4">
                  <c:v>VJC</c:v>
                </c:pt>
              </c:strCache>
            </c:strRef>
          </c:cat>
          <c:val>
            <c:numRef>
              <c:f>'JUNE 2025'!$D$52:$D$56</c:f>
              <c:numCache>
                <c:formatCode>_(* #,##0.00_);_(* \(#,##0.00\);_(* "-"??_);_(@_)</c:formatCode>
                <c:ptCount val="5"/>
                <c:pt idx="0">
                  <c:v>644.47340000000008</c:v>
                </c:pt>
                <c:pt idx="1">
                  <c:v>1266.5906000000002</c:v>
                </c:pt>
                <c:pt idx="2">
                  <c:v>1014.3561</c:v>
                </c:pt>
                <c:pt idx="3">
                  <c:v>158.0069</c:v>
                </c:pt>
                <c:pt idx="4">
                  <c:v>1346.5678799999991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'JUNE 2025'!$F$52:$F$56</c15:f>
                <c15:dlblRangeCache>
                  <c:ptCount val="5"/>
                  <c:pt idx="0">
                    <c:v>75.76%</c:v>
                  </c:pt>
                  <c:pt idx="1">
                    <c:v>96.61%</c:v>
                  </c:pt>
                  <c:pt idx="2">
                    <c:v>81.46%</c:v>
                  </c:pt>
                  <c:pt idx="3">
                    <c:v>17.00%</c:v>
                  </c:pt>
                  <c:pt idx="4">
                    <c:v>104.81%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D3D3-474D-A7CD-7C5096E638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56333264"/>
        <c:axId val="2056332848"/>
      </c:barChart>
      <c:catAx>
        <c:axId val="165494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936816"/>
        <c:crosses val="autoZero"/>
        <c:auto val="1"/>
        <c:lblAlgn val="ctr"/>
        <c:lblOffset val="100"/>
        <c:noMultiLvlLbl val="0"/>
      </c:catAx>
      <c:valAx>
        <c:axId val="1654936816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654941808"/>
        <c:crosses val="autoZero"/>
        <c:crossBetween val="between"/>
      </c:valAx>
      <c:valAx>
        <c:axId val="2056332848"/>
        <c:scaling>
          <c:orientation val="minMax"/>
          <c:max val="1400"/>
        </c:scaling>
        <c:delete val="1"/>
        <c:axPos val="r"/>
        <c:numFmt formatCode="_(* #,##0.00_);_(* \(#,##0.00\);_(* &quot;-&quot;??_);_(@_)" sourceLinked="1"/>
        <c:majorTickMark val="out"/>
        <c:minorTickMark val="none"/>
        <c:tickLblPos val="nextTo"/>
        <c:crossAx val="2056333264"/>
        <c:crosses val="max"/>
        <c:crossBetween val="between"/>
      </c:valAx>
      <c:catAx>
        <c:axId val="2056333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633284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29882</xdr:colOff>
      <xdr:row>58</xdr:row>
      <xdr:rowOff>171076</xdr:rowOff>
    </xdr:from>
    <xdr:to>
      <xdr:col>9</xdr:col>
      <xdr:colOff>52294</xdr:colOff>
      <xdr:row>74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35783-7881-AF6B-B7F0-C72E20958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29882</xdr:colOff>
      <xdr:row>61</xdr:row>
      <xdr:rowOff>171076</xdr:rowOff>
    </xdr:from>
    <xdr:to>
      <xdr:col>9</xdr:col>
      <xdr:colOff>52294</xdr:colOff>
      <xdr:row>77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168171-893B-4569-A694-BB8EE6C91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4B3B-82A6-4C96-BBD3-BD3BE16482CB}">
  <dimension ref="A1:R157"/>
  <sheetViews>
    <sheetView tabSelected="1" topLeftCell="A117" zoomScale="80" zoomScaleNormal="80" workbookViewId="0">
      <selection activeCell="B146" sqref="B146"/>
    </sheetView>
  </sheetViews>
  <sheetFormatPr defaultColWidth="8.7109375" defaultRowHeight="14.45"/>
  <cols>
    <col min="1" max="1" width="27" style="32" bestFit="1" customWidth="1"/>
    <col min="2" max="5" width="9.140625" style="31" bestFit="1" customWidth="1"/>
    <col min="6" max="6" width="11.7109375" style="31" customWidth="1"/>
    <col min="7" max="7" width="12.42578125" style="31" customWidth="1"/>
    <col min="8" max="8" width="11.85546875" style="31" customWidth="1"/>
    <col min="9" max="9" width="10.140625" style="31" customWidth="1"/>
    <col min="10" max="10" width="16.7109375" style="31" customWidth="1"/>
    <col min="11" max="11" width="8.7109375" style="31"/>
    <col min="12" max="12" width="26.140625" style="31" customWidth="1"/>
    <col min="13" max="13" width="21.85546875" style="31" customWidth="1"/>
    <col min="14" max="14" width="27.85546875" style="31" customWidth="1"/>
    <col min="15" max="15" width="26.28515625" style="31" customWidth="1"/>
    <col min="16" max="16384" width="8.7109375" style="31"/>
  </cols>
  <sheetData>
    <row r="1" spans="1:15" ht="18.95" thickBot="1">
      <c r="A1" s="45" t="s">
        <v>0</v>
      </c>
      <c r="J1" s="190"/>
      <c r="K1" s="190"/>
      <c r="L1" s="190"/>
      <c r="M1" s="190"/>
      <c r="N1" s="190"/>
      <c r="O1" s="190"/>
    </row>
    <row r="2" spans="1:15" ht="22.5" customHeight="1" thickBot="1">
      <c r="A2" s="25" t="s">
        <v>1</v>
      </c>
      <c r="B2" s="177" t="s">
        <v>2</v>
      </c>
      <c r="C2" s="178"/>
      <c r="D2" s="178"/>
      <c r="E2" s="178"/>
      <c r="F2" s="179" t="s">
        <v>3</v>
      </c>
      <c r="G2" s="179" t="s">
        <v>4</v>
      </c>
      <c r="H2" s="181" t="s">
        <v>5</v>
      </c>
      <c r="I2" s="181" t="s">
        <v>6</v>
      </c>
      <c r="J2" s="191"/>
      <c r="K2" s="191"/>
      <c r="L2" s="191"/>
      <c r="M2" s="191"/>
      <c r="N2" s="189"/>
      <c r="O2" s="189"/>
    </row>
    <row r="3" spans="1:15" ht="23.45" customHeight="1" thickBot="1">
      <c r="A3" s="26" t="s">
        <v>7</v>
      </c>
      <c r="B3" s="22" t="s">
        <v>8</v>
      </c>
      <c r="C3" s="23" t="s">
        <v>9</v>
      </c>
      <c r="D3" s="23" t="s">
        <v>10</v>
      </c>
      <c r="E3" s="24" t="s">
        <v>11</v>
      </c>
      <c r="F3" s="180"/>
      <c r="G3" s="180"/>
      <c r="H3" s="182"/>
      <c r="I3" s="182"/>
      <c r="J3" s="92"/>
      <c r="K3" s="92"/>
      <c r="L3" s="92"/>
      <c r="M3" s="92"/>
      <c r="N3" s="189"/>
      <c r="O3" s="189"/>
    </row>
    <row r="4" spans="1:15">
      <c r="A4" s="27" t="s">
        <v>12</v>
      </c>
      <c r="B4" s="1">
        <v>3</v>
      </c>
      <c r="C4" s="2">
        <v>1</v>
      </c>
      <c r="D4" s="2">
        <v>1</v>
      </c>
      <c r="E4" s="3">
        <v>1</v>
      </c>
      <c r="F4" s="4">
        <f>(B4*4)+(C4*6)+(D4*4)+(E4*3)</f>
        <v>25</v>
      </c>
      <c r="G4" s="5">
        <f>($F4*8*26)/1.8245</f>
        <v>2850.0959166895041</v>
      </c>
      <c r="H4" s="19">
        <f>G4/4</f>
        <v>712.52397917237602</v>
      </c>
      <c r="I4" s="53">
        <f>($F4*8)/1.8245</f>
        <v>109.61907371882708</v>
      </c>
      <c r="J4" s="83"/>
      <c r="K4" s="93"/>
      <c r="L4" s="93"/>
      <c r="M4" s="93"/>
      <c r="N4" s="84"/>
      <c r="O4" s="94"/>
    </row>
    <row r="5" spans="1:15">
      <c r="A5" s="28" t="s">
        <v>13</v>
      </c>
      <c r="B5" s="6">
        <v>2</v>
      </c>
      <c r="C5" s="7">
        <v>1</v>
      </c>
      <c r="D5" s="8">
        <v>1</v>
      </c>
      <c r="E5" s="9">
        <v>1</v>
      </c>
      <c r="F5" s="4">
        <f>(B5*4)+(C5*6)+(D5*4)+(E5*3)</f>
        <v>21</v>
      </c>
      <c r="G5" s="5">
        <f t="shared" ref="G5:G8" si="0">($F5*8*26)/1.8245</f>
        <v>2394.0805700191831</v>
      </c>
      <c r="H5" s="20">
        <f>G5/4</f>
        <v>598.52014250479579</v>
      </c>
      <c r="I5" s="53">
        <f t="shared" ref="I5:I8" si="1">($F5*8)/1.8245</f>
        <v>92.080021923814741</v>
      </c>
      <c r="J5" s="83"/>
      <c r="K5" s="93"/>
      <c r="L5" s="93"/>
      <c r="M5" s="93"/>
      <c r="N5" s="84"/>
      <c r="O5" s="94"/>
    </row>
    <row r="6" spans="1:15">
      <c r="A6" s="28" t="s">
        <v>14</v>
      </c>
      <c r="B6" s="10">
        <v>2</v>
      </c>
      <c r="C6" s="8">
        <v>1</v>
      </c>
      <c r="D6" s="8">
        <v>1</v>
      </c>
      <c r="E6" s="11">
        <v>1</v>
      </c>
      <c r="F6" s="4">
        <f>(B6*4)+(C6*6)+(D6*4)+(E6*3)</f>
        <v>21</v>
      </c>
      <c r="G6" s="5">
        <f t="shared" si="0"/>
        <v>2394.0805700191831</v>
      </c>
      <c r="H6" s="20">
        <f>G6/4</f>
        <v>598.52014250479579</v>
      </c>
      <c r="I6" s="53">
        <f t="shared" si="1"/>
        <v>92.080021923814741</v>
      </c>
      <c r="J6" s="83"/>
      <c r="K6" s="93"/>
      <c r="L6" s="93"/>
      <c r="M6" s="93"/>
      <c r="N6" s="84"/>
      <c r="O6" s="94"/>
    </row>
    <row r="7" spans="1:15">
      <c r="A7" s="28" t="s">
        <v>15</v>
      </c>
      <c r="B7" s="6">
        <v>2</v>
      </c>
      <c r="C7" s="12">
        <v>1</v>
      </c>
      <c r="D7" s="8">
        <v>1</v>
      </c>
      <c r="E7" s="11">
        <v>1</v>
      </c>
      <c r="F7" s="4">
        <f>(B7*4)+(C7*6)+(D7*4)+(E7*3)</f>
        <v>21</v>
      </c>
      <c r="G7" s="5">
        <f t="shared" si="0"/>
        <v>2394.0805700191831</v>
      </c>
      <c r="H7" s="20">
        <f>G7/4</f>
        <v>598.52014250479579</v>
      </c>
      <c r="I7" s="53">
        <f t="shared" si="1"/>
        <v>92.080021923814741</v>
      </c>
      <c r="J7" s="83"/>
      <c r="K7" s="93"/>
      <c r="L7" s="113"/>
      <c r="M7" s="93"/>
      <c r="N7" s="84"/>
      <c r="O7" s="94"/>
    </row>
    <row r="8" spans="1:15" ht="15" thickBot="1">
      <c r="A8" s="29" t="s">
        <v>16</v>
      </c>
      <c r="B8" s="13">
        <v>2</v>
      </c>
      <c r="C8" s="14">
        <v>1</v>
      </c>
      <c r="D8" s="14"/>
      <c r="E8" s="15">
        <v>1</v>
      </c>
      <c r="F8" s="4">
        <f>(B8*4)+(C8*6)+(D8*4)+(E8*3)</f>
        <v>17</v>
      </c>
      <c r="G8" s="5">
        <f t="shared" si="0"/>
        <v>1938.0652233488627</v>
      </c>
      <c r="H8" s="21">
        <f>G8/4</f>
        <v>484.51630583721567</v>
      </c>
      <c r="I8" s="53">
        <f t="shared" si="1"/>
        <v>74.540970128802414</v>
      </c>
      <c r="J8" s="83"/>
      <c r="K8" s="93"/>
      <c r="L8" s="112"/>
      <c r="M8" s="93"/>
      <c r="N8" s="84"/>
      <c r="O8" s="94"/>
    </row>
    <row r="9" spans="1:15" ht="18.95" thickBot="1">
      <c r="A9" s="30" t="s">
        <v>17</v>
      </c>
      <c r="B9" s="16">
        <f>SUM(B4:B8)</f>
        <v>11</v>
      </c>
      <c r="C9" s="16">
        <f>SUM(C4:C8)</f>
        <v>5</v>
      </c>
      <c r="D9" s="16">
        <f>SUM(D4:D8)</f>
        <v>4</v>
      </c>
      <c r="E9" s="17">
        <f>SUM(E4:E8)</f>
        <v>5</v>
      </c>
      <c r="F9" s="51">
        <f>SUM(F4:F8)</f>
        <v>105</v>
      </c>
      <c r="G9" s="18">
        <f t="shared" ref="G9" si="2">(F9*8*26)/1.8245</f>
        <v>11970.402850095918</v>
      </c>
      <c r="H9" s="18">
        <f t="shared" ref="H9:I9" si="3">SUM(H4:H8)</f>
        <v>2992.6007125239794</v>
      </c>
      <c r="I9" s="18">
        <f t="shared" si="3"/>
        <v>460.4001096190737</v>
      </c>
      <c r="J9" s="83"/>
      <c r="K9" s="83"/>
      <c r="L9" s="114"/>
      <c r="M9" s="83"/>
      <c r="N9" s="84"/>
      <c r="O9" s="85"/>
    </row>
    <row r="11" spans="1:15" ht="15" thickBot="1">
      <c r="B11" s="173" t="s">
        <v>18</v>
      </c>
      <c r="C11" s="173"/>
      <c r="D11" s="173"/>
      <c r="E11" s="173"/>
      <c r="F11" s="173"/>
      <c r="G11" s="173"/>
    </row>
    <row r="12" spans="1:15" ht="15" thickBot="1">
      <c r="A12" s="33" t="s">
        <v>19</v>
      </c>
      <c r="B12" s="47" t="s">
        <v>12</v>
      </c>
      <c r="C12" s="48" t="s">
        <v>20</v>
      </c>
      <c r="D12" s="48" t="s">
        <v>14</v>
      </c>
      <c r="E12" s="48" t="s">
        <v>21</v>
      </c>
      <c r="F12" s="49" t="s">
        <v>16</v>
      </c>
      <c r="G12" s="46" t="s">
        <v>17</v>
      </c>
      <c r="H12" s="174" t="s">
        <v>22</v>
      </c>
      <c r="I12" s="175"/>
      <c r="J12" s="175"/>
      <c r="K12" s="175"/>
      <c r="L12" s="175"/>
      <c r="M12" s="175"/>
      <c r="N12" s="175"/>
      <c r="O12" s="176"/>
    </row>
    <row r="13" spans="1:15" ht="15" thickBot="1">
      <c r="A13" s="34">
        <v>45799</v>
      </c>
      <c r="B13" s="95">
        <f>'MAY 2025'!G14</f>
        <v>0</v>
      </c>
      <c r="C13" s="96">
        <f>'MAY 2025'!M14</f>
        <v>61.386681282543165</v>
      </c>
      <c r="D13" s="96">
        <f>'MAY 2025'!S14</f>
        <v>61.386681282543165</v>
      </c>
      <c r="E13" s="96">
        <f>'MAY 2025'!Y14</f>
        <v>0</v>
      </c>
      <c r="F13" s="97">
        <f>'MAY 2025'!AE14</f>
        <v>17.53905179501233</v>
      </c>
      <c r="G13" s="86">
        <f t="shared" ref="G13:G22" si="4">SUM(B13:F13)</f>
        <v>140.31241436009867</v>
      </c>
      <c r="H13" s="187" t="s">
        <v>23</v>
      </c>
      <c r="I13" s="183"/>
      <c r="J13" s="183"/>
      <c r="K13" s="183"/>
      <c r="L13" s="183"/>
      <c r="M13" s="183"/>
      <c r="N13" s="183"/>
      <c r="O13" s="184"/>
    </row>
    <row r="14" spans="1:15" ht="15" thickBot="1">
      <c r="A14" s="34">
        <v>45800</v>
      </c>
      <c r="B14" s="95">
        <f>'MAY 2025'!G15</f>
        <v>17.53905179501233</v>
      </c>
      <c r="C14" s="96">
        <f>'MAY 2025'!M15</f>
        <v>74.540970128802414</v>
      </c>
      <c r="D14" s="96">
        <f>'MAY 2025'!S15</f>
        <v>57.00191833379008</v>
      </c>
      <c r="E14" s="96">
        <f>'MAY 2025'!Y15</f>
        <v>17.53905179501233</v>
      </c>
      <c r="F14" s="97">
        <f>'MAY 2025'!AE15</f>
        <v>61.386681282543165</v>
      </c>
      <c r="G14" s="50">
        <f t="shared" si="4"/>
        <v>228.00767333516035</v>
      </c>
      <c r="H14" s="187" t="s">
        <v>24</v>
      </c>
      <c r="I14" s="183"/>
      <c r="J14" s="183"/>
      <c r="K14" s="183"/>
      <c r="L14" s="183"/>
      <c r="M14" s="183"/>
      <c r="N14" s="183"/>
      <c r="O14" s="184"/>
    </row>
    <row r="15" spans="1:15" ht="15" thickBot="1">
      <c r="A15" s="34">
        <v>45801</v>
      </c>
      <c r="B15" s="95">
        <f>'MAY 2025'!G16</f>
        <v>109.61907371882708</v>
      </c>
      <c r="C15" s="96">
        <f>'MAY 2025'!M16</f>
        <v>74.540970128802414</v>
      </c>
      <c r="D15" s="96">
        <f>'MAY 2025'!S16</f>
        <v>43.847629487530831</v>
      </c>
      <c r="E15" s="96">
        <f>'MAY 2025'!Y16</f>
        <v>0</v>
      </c>
      <c r="F15" s="97">
        <f>'MAY 2025'!AE16</f>
        <v>35.078103590024661</v>
      </c>
      <c r="G15" s="50">
        <f t="shared" si="4"/>
        <v>263.08577692518497</v>
      </c>
      <c r="H15" s="187" t="s">
        <v>25</v>
      </c>
      <c r="I15" s="183"/>
      <c r="J15" s="183"/>
      <c r="K15" s="183"/>
      <c r="L15" s="183"/>
      <c r="M15" s="183"/>
      <c r="N15" s="183"/>
      <c r="O15" s="184"/>
    </row>
    <row r="16" spans="1:15" ht="15" thickBot="1">
      <c r="A16" s="34">
        <v>45802</v>
      </c>
      <c r="B16" s="95">
        <f>'MAY 2025'!G17</f>
        <v>57.00191833379008</v>
      </c>
      <c r="C16" s="96">
        <f>'MAY 2025'!M17</f>
        <v>0</v>
      </c>
      <c r="D16" s="96">
        <f>'MAY 2025'!S17</f>
        <v>0</v>
      </c>
      <c r="E16" s="96">
        <f>'MAY 2025'!Y17</f>
        <v>0</v>
      </c>
      <c r="F16" s="97">
        <f>'MAY 2025'!AE17</f>
        <v>0</v>
      </c>
      <c r="G16" s="50">
        <f t="shared" si="4"/>
        <v>57.00191833379008</v>
      </c>
      <c r="H16" s="187" t="s">
        <v>26</v>
      </c>
      <c r="I16" s="183"/>
      <c r="J16" s="183"/>
      <c r="K16" s="183"/>
      <c r="L16" s="183"/>
      <c r="M16" s="183"/>
      <c r="N16" s="183"/>
      <c r="O16" s="184"/>
    </row>
    <row r="17" spans="1:15" ht="15" thickBot="1">
      <c r="A17" s="34">
        <v>45803</v>
      </c>
      <c r="B17" s="95">
        <f>'MAY 2025'!G18</f>
        <v>43.847629487530831</v>
      </c>
      <c r="C17" s="96">
        <f>'MAY 2025'!M18</f>
        <v>74.540970128802414</v>
      </c>
      <c r="D17" s="96">
        <f>'MAY 2025'!S18</f>
        <v>57.00191833379008</v>
      </c>
      <c r="E17" s="96">
        <f>'MAY 2025'!Y18</f>
        <v>0</v>
      </c>
      <c r="F17" s="97">
        <f>'MAY 2025'!AE18</f>
        <v>0</v>
      </c>
      <c r="G17" s="50">
        <f t="shared" si="4"/>
        <v>175.39051795012332</v>
      </c>
      <c r="H17" s="187" t="s">
        <v>27</v>
      </c>
      <c r="I17" s="183"/>
      <c r="J17" s="183"/>
      <c r="K17" s="183"/>
      <c r="L17" s="183"/>
      <c r="M17" s="183"/>
      <c r="N17" s="183"/>
      <c r="O17" s="184"/>
    </row>
    <row r="18" spans="1:15" ht="15" thickBot="1">
      <c r="A18" s="34">
        <v>45804</v>
      </c>
      <c r="B18" s="95">
        <f>'MAY 2025'!G19</f>
        <v>92.080021923814741</v>
      </c>
      <c r="C18" s="96">
        <f>'MAY 2025'!M19</f>
        <v>61.386681282543165</v>
      </c>
      <c r="D18" s="96">
        <f>'MAY 2025'!S19</f>
        <v>57.00191833379008</v>
      </c>
      <c r="E18" s="96">
        <f>'MAY 2025'!Y19</f>
        <v>57.00191833379008</v>
      </c>
      <c r="F18" s="97">
        <f>'MAY 2025'!AE19</f>
        <v>35.078103590024661</v>
      </c>
      <c r="G18" s="50">
        <f t="shared" si="4"/>
        <v>302.54864346396278</v>
      </c>
      <c r="H18" s="187" t="s">
        <v>28</v>
      </c>
      <c r="I18" s="183"/>
      <c r="J18" s="183"/>
      <c r="K18" s="183"/>
      <c r="L18" s="183"/>
      <c r="M18" s="183"/>
      <c r="N18" s="183"/>
      <c r="O18" s="184"/>
    </row>
    <row r="19" spans="1:15" ht="15" thickBot="1">
      <c r="A19" s="34">
        <v>45805</v>
      </c>
      <c r="B19" s="95">
        <f>'MAY 2025'!G20</f>
        <v>57.00191833379008</v>
      </c>
      <c r="C19" s="96">
        <f>'MAY 2025'!M20</f>
        <v>74.540970128802414</v>
      </c>
      <c r="D19" s="96">
        <f>'MAY 2025'!S20</f>
        <v>61.386681282543165</v>
      </c>
      <c r="E19" s="96">
        <f>'MAY 2025'!Y20</f>
        <v>52.617155385036995</v>
      </c>
      <c r="F19" s="97">
        <f>'MAY 2025'!AE20</f>
        <v>61.386681282543165</v>
      </c>
      <c r="G19" s="50">
        <f t="shared" si="4"/>
        <v>306.93340641271584</v>
      </c>
      <c r="H19" s="187" t="s">
        <v>29</v>
      </c>
      <c r="I19" s="185"/>
      <c r="J19" s="185"/>
      <c r="K19" s="185"/>
      <c r="L19" s="185"/>
      <c r="M19" s="185"/>
      <c r="N19" s="185"/>
      <c r="O19" s="186"/>
    </row>
    <row r="20" spans="1:15" ht="15" thickBot="1">
      <c r="A20" s="34">
        <v>45806</v>
      </c>
      <c r="B20" s="95">
        <f>'MAY 2025'!G21</f>
        <v>17.53905179501233</v>
      </c>
      <c r="C20" s="96">
        <f>'MAY 2025'!M21</f>
        <v>74.540970128802414</v>
      </c>
      <c r="D20" s="96">
        <f>'MAY 2025'!S21</f>
        <v>61.386681282543165</v>
      </c>
      <c r="E20" s="96">
        <f>'MAY 2025'!Y21</f>
        <v>65.771444231296243</v>
      </c>
      <c r="F20" s="97">
        <f>'MAY 2025'!AE21</f>
        <v>0</v>
      </c>
      <c r="G20" s="50">
        <f t="shared" si="4"/>
        <v>219.23814743765416</v>
      </c>
      <c r="H20" s="187" t="s">
        <v>30</v>
      </c>
      <c r="I20" s="183"/>
      <c r="J20" s="183"/>
      <c r="K20" s="183"/>
      <c r="L20" s="183"/>
      <c r="M20" s="183"/>
      <c r="N20" s="183"/>
      <c r="O20" s="184"/>
    </row>
    <row r="21" spans="1:15" ht="15" thickBot="1">
      <c r="A21" s="34">
        <v>45807</v>
      </c>
      <c r="B21" s="95">
        <f>'MAY 2025'!G22</f>
        <v>61.386681282543165</v>
      </c>
      <c r="C21" s="96">
        <f>'MAY 2025'!M22</f>
        <v>149.08194025760483</v>
      </c>
      <c r="D21" s="96">
        <f>'MAY 2025'!S22</f>
        <v>61.386681282543165</v>
      </c>
      <c r="E21" s="96">
        <f>'MAY 2025'!Y22</f>
        <v>65.771444231296243</v>
      </c>
      <c r="F21" s="97">
        <f>'MAY 2025'!AE22</f>
        <v>35.078103590024661</v>
      </c>
      <c r="G21" s="50">
        <f t="shared" si="4"/>
        <v>372.70485064401208</v>
      </c>
      <c r="H21" s="187" t="s">
        <v>31</v>
      </c>
      <c r="I21" s="185"/>
      <c r="J21" s="185"/>
      <c r="K21" s="185"/>
      <c r="L21" s="185"/>
      <c r="M21" s="185"/>
      <c r="N21" s="185"/>
      <c r="O21" s="186"/>
    </row>
    <row r="22" spans="1:15" ht="15" thickBot="1">
      <c r="A22" s="35">
        <v>45808</v>
      </c>
      <c r="B22" s="95">
        <f>'MAY 2025'!G23</f>
        <v>92.080021923814741</v>
      </c>
      <c r="C22" s="96">
        <f>'MAY 2025'!M23</f>
        <v>74.540970128802414</v>
      </c>
      <c r="D22" s="96">
        <f>'MAY 2025'!S23</f>
        <v>74.540970128802414</v>
      </c>
      <c r="E22" s="96">
        <f>'MAY 2025'!Y23</f>
        <v>0</v>
      </c>
      <c r="F22" s="97">
        <f>'MAY 2025'!AE23</f>
        <v>61.386681282543165</v>
      </c>
      <c r="G22" s="86">
        <f t="shared" si="4"/>
        <v>302.54864346396278</v>
      </c>
      <c r="H22" s="187" t="s">
        <v>32</v>
      </c>
      <c r="I22" s="185"/>
      <c r="J22" s="185"/>
      <c r="K22" s="185"/>
      <c r="L22" s="185"/>
      <c r="M22" s="185"/>
      <c r="N22" s="185"/>
      <c r="O22" s="186"/>
    </row>
    <row r="23" spans="1:15">
      <c r="B23" s="188"/>
      <c r="C23" s="188"/>
      <c r="D23" s="188"/>
      <c r="E23" s="98"/>
      <c r="F23" s="98"/>
      <c r="G23" s="99">
        <f>SUM(G13:G22)</f>
        <v>2367.771992326665</v>
      </c>
      <c r="H23" s="98"/>
      <c r="I23" s="98"/>
      <c r="J23" s="98"/>
      <c r="K23" s="98"/>
      <c r="L23" s="98"/>
      <c r="M23" s="98"/>
      <c r="N23" s="98"/>
      <c r="O23" s="98"/>
    </row>
    <row r="25" spans="1:15" ht="15" thickBot="1"/>
    <row r="26" spans="1:15" ht="18.95" customHeight="1" thickBot="1">
      <c r="A26" s="25" t="s">
        <v>33</v>
      </c>
      <c r="B26" s="177" t="s">
        <v>2</v>
      </c>
      <c r="C26" s="178"/>
      <c r="D26" s="178"/>
      <c r="E26" s="178"/>
      <c r="F26" s="179" t="s">
        <v>3</v>
      </c>
      <c r="G26" s="179" t="s">
        <v>4</v>
      </c>
      <c r="H26" s="181" t="s">
        <v>5</v>
      </c>
      <c r="I26" s="181" t="s">
        <v>6</v>
      </c>
    </row>
    <row r="27" spans="1:15" ht="21.6" customHeight="1" thickBot="1">
      <c r="A27" s="26" t="s">
        <v>7</v>
      </c>
      <c r="B27" s="22" t="s">
        <v>8</v>
      </c>
      <c r="C27" s="23" t="s">
        <v>9</v>
      </c>
      <c r="D27" s="23" t="s">
        <v>10</v>
      </c>
      <c r="E27" s="24" t="s">
        <v>11</v>
      </c>
      <c r="F27" s="180"/>
      <c r="G27" s="180"/>
      <c r="H27" s="182"/>
      <c r="I27" s="182"/>
    </row>
    <row r="28" spans="1:15">
      <c r="A28" s="27" t="s">
        <v>12</v>
      </c>
      <c r="B28" s="1">
        <v>3</v>
      </c>
      <c r="C28" s="2">
        <v>1</v>
      </c>
      <c r="D28" s="2">
        <v>1</v>
      </c>
      <c r="E28" s="3">
        <v>1</v>
      </c>
      <c r="F28" s="4">
        <f>(B28*4)+(C28*6)+(D28*4)+(E28*3)</f>
        <v>25</v>
      </c>
      <c r="G28" s="5">
        <f>($F28*8*26)/1.8245</f>
        <v>2850.0959166895041</v>
      </c>
      <c r="H28" s="19">
        <f>G28/4</f>
        <v>712.52397917237602</v>
      </c>
      <c r="I28" s="53">
        <f>($F28*8)/1.8245</f>
        <v>109.61907371882708</v>
      </c>
    </row>
    <row r="29" spans="1:15">
      <c r="A29" s="28" t="s">
        <v>13</v>
      </c>
      <c r="B29" s="6">
        <v>2</v>
      </c>
      <c r="C29" s="7">
        <v>1</v>
      </c>
      <c r="D29" s="8">
        <v>1</v>
      </c>
      <c r="E29" s="9">
        <v>1</v>
      </c>
      <c r="F29" s="4">
        <f>(B29*4)+(C29*6)+(D29*4)+(E29*3)</f>
        <v>21</v>
      </c>
      <c r="G29" s="5">
        <f>($F29*8*26)/1.8245</f>
        <v>2394.0805700191831</v>
      </c>
      <c r="H29" s="20">
        <f>G29/4</f>
        <v>598.52014250479579</v>
      </c>
      <c r="I29" s="53">
        <f>($F29*8)/1.8245</f>
        <v>92.080021923814741</v>
      </c>
    </row>
    <row r="30" spans="1:15">
      <c r="A30" s="28" t="s">
        <v>14</v>
      </c>
      <c r="B30" s="10">
        <v>2</v>
      </c>
      <c r="C30" s="8">
        <v>1</v>
      </c>
      <c r="D30" s="8">
        <v>1</v>
      </c>
      <c r="E30" s="11">
        <v>1</v>
      </c>
      <c r="F30" s="4">
        <f>(B30*4)+(C30*6)+(D30*4)+(E30*3)</f>
        <v>21</v>
      </c>
      <c r="G30" s="5">
        <f>($F30*8*26)/1.8245</f>
        <v>2394.0805700191831</v>
      </c>
      <c r="H30" s="20">
        <f>G30/4</f>
        <v>598.52014250479579</v>
      </c>
      <c r="I30" s="53">
        <f>($F30*8)/1.8245</f>
        <v>92.080021923814741</v>
      </c>
    </row>
    <row r="31" spans="1:15">
      <c r="A31" s="28" t="s">
        <v>15</v>
      </c>
      <c r="B31" s="6">
        <v>2</v>
      </c>
      <c r="C31" s="12">
        <v>1</v>
      </c>
      <c r="D31" s="8">
        <v>1</v>
      </c>
      <c r="E31" s="11">
        <v>1</v>
      </c>
      <c r="F31" s="4">
        <f>(B31*4)+(C31*6)+(D31*4)+(E31*3)</f>
        <v>21</v>
      </c>
      <c r="G31" s="5">
        <f>($F31*8*26)/1.8245</f>
        <v>2394.0805700191831</v>
      </c>
      <c r="H31" s="20">
        <f>G31/4</f>
        <v>598.52014250479579</v>
      </c>
      <c r="I31" s="53">
        <f>($F31*8)/1.8245</f>
        <v>92.080021923814741</v>
      </c>
    </row>
    <row r="32" spans="1:15" ht="15" thickBot="1">
      <c r="A32" s="29" t="s">
        <v>16</v>
      </c>
      <c r="B32" s="13">
        <v>2</v>
      </c>
      <c r="C32" s="14">
        <v>1</v>
      </c>
      <c r="D32" s="14"/>
      <c r="E32" s="15">
        <v>1</v>
      </c>
      <c r="F32" s="4">
        <f>(B32*4)+(C32*6)+(D32*4)+(E32*3)</f>
        <v>17</v>
      </c>
      <c r="G32" s="5">
        <f>($F32*8*26)/1.8245</f>
        <v>1938.0652233488627</v>
      </c>
      <c r="H32" s="21">
        <f>G32/4</f>
        <v>484.51630583721567</v>
      </c>
      <c r="I32" s="53">
        <f>($F32*8)/1.8245</f>
        <v>74.540970128802414</v>
      </c>
    </row>
    <row r="33" spans="1:18" ht="15" thickBot="1">
      <c r="A33" s="30" t="s">
        <v>17</v>
      </c>
      <c r="B33" s="16">
        <f>SUM(B28:B32)</f>
        <v>11</v>
      </c>
      <c r="C33" s="16">
        <f>SUM(C28:C32)</f>
        <v>5</v>
      </c>
      <c r="D33" s="16">
        <f>SUM(D28:D32)</f>
        <v>4</v>
      </c>
      <c r="E33" s="17">
        <f>SUM(E28:E32)</f>
        <v>5</v>
      </c>
      <c r="F33" s="51">
        <f>SUM(F28:F32)</f>
        <v>105</v>
      </c>
      <c r="G33" s="18">
        <f>(F33*8*26)/1.8245</f>
        <v>11970.402850095918</v>
      </c>
      <c r="H33" s="18">
        <f>SUM(H28:H32)</f>
        <v>2992.6007125239794</v>
      </c>
      <c r="I33" s="18">
        <f>SUM(I28:I32)</f>
        <v>460.4001096190737</v>
      </c>
    </row>
    <row r="35" spans="1:18" ht="15" thickBot="1">
      <c r="B35" s="173" t="s">
        <v>18</v>
      </c>
      <c r="C35" s="173"/>
      <c r="D35" s="173"/>
      <c r="E35" s="173"/>
      <c r="F35" s="173"/>
      <c r="G35" s="173"/>
    </row>
    <row r="36" spans="1:18" ht="15" thickBot="1">
      <c r="A36" s="107" t="s">
        <v>19</v>
      </c>
      <c r="B36" s="47" t="s">
        <v>12</v>
      </c>
      <c r="C36" s="48" t="s">
        <v>20</v>
      </c>
      <c r="D36" s="48" t="s">
        <v>14</v>
      </c>
      <c r="E36" s="48" t="s">
        <v>21</v>
      </c>
      <c r="F36" s="49" t="s">
        <v>16</v>
      </c>
      <c r="G36" s="46" t="s">
        <v>17</v>
      </c>
      <c r="H36" s="175" t="s">
        <v>22</v>
      </c>
      <c r="I36" s="175"/>
      <c r="J36" s="175"/>
      <c r="K36" s="175"/>
      <c r="L36" s="175"/>
      <c r="M36" s="175"/>
      <c r="N36" s="175"/>
      <c r="O36" s="176"/>
    </row>
    <row r="37" spans="1:18" ht="15" thickBot="1">
      <c r="A37" s="108">
        <v>45809</v>
      </c>
      <c r="B37" s="105">
        <f>'JUNE 2025'!G16</f>
        <v>0</v>
      </c>
      <c r="C37" s="96">
        <f>'JUNE 2025'!M16</f>
        <v>0</v>
      </c>
      <c r="D37" s="96">
        <f>'JUNE 2025'!S16</f>
        <v>0</v>
      </c>
      <c r="E37" s="96">
        <f>'JUNE 2025'!Y16</f>
        <v>0</v>
      </c>
      <c r="F37" s="97">
        <f>'JUNE 2025'!AE16</f>
        <v>0</v>
      </c>
      <c r="G37" s="86">
        <f t="shared" ref="G37:G66" si="5">SUM(B37:F37)</f>
        <v>0</v>
      </c>
      <c r="H37" s="183" t="s">
        <v>34</v>
      </c>
      <c r="I37" s="183"/>
      <c r="J37" s="183"/>
      <c r="K37" s="183"/>
      <c r="L37" s="183"/>
      <c r="M37" s="183"/>
      <c r="N37" s="183"/>
      <c r="O37" s="184"/>
    </row>
    <row r="38" spans="1:18" ht="15" thickBot="1">
      <c r="A38" s="109">
        <v>45810</v>
      </c>
      <c r="B38" s="105">
        <f>'JUNE 2025'!G17</f>
        <v>26.308577692518497</v>
      </c>
      <c r="C38" s="96">
        <f>'JUNE 2025'!M17</f>
        <v>74.540970128802414</v>
      </c>
      <c r="D38" s="96">
        <f>'JUNE 2025'!S17</f>
        <v>57.00191833379008</v>
      </c>
      <c r="E38" s="96">
        <f>'JUNE 2025'!Y17</f>
        <v>35.078103590024661</v>
      </c>
      <c r="F38" s="97">
        <f>'JUNE 2025'!AE17</f>
        <v>0</v>
      </c>
      <c r="G38" s="86">
        <f t="shared" si="5"/>
        <v>192.92956974513564</v>
      </c>
      <c r="H38" s="183" t="s">
        <v>35</v>
      </c>
      <c r="I38" s="183"/>
      <c r="J38" s="183"/>
      <c r="K38" s="183"/>
      <c r="L38" s="183"/>
      <c r="M38" s="183"/>
      <c r="N38" s="183"/>
      <c r="O38" s="184"/>
    </row>
    <row r="39" spans="1:18" ht="15" thickBot="1">
      <c r="A39" s="109">
        <v>45811</v>
      </c>
      <c r="B39" s="105">
        <f>'JUNE 2025'!G18</f>
        <v>57.00191833379008</v>
      </c>
      <c r="C39" s="96">
        <f>'JUNE 2025'!M18</f>
        <v>61.386681282543165</v>
      </c>
      <c r="D39" s="96">
        <f>'JUNE 2025'!S18</f>
        <v>57.00191833379008</v>
      </c>
      <c r="E39" s="96">
        <f>'JUNE 2025'!Y18</f>
        <v>127.15812551383941</v>
      </c>
      <c r="F39" s="97">
        <f>'JUNE 2025'!AE18</f>
        <v>61.386681282543165</v>
      </c>
      <c r="G39" s="86">
        <f t="shared" si="5"/>
        <v>363.9353247465059</v>
      </c>
      <c r="H39" s="183"/>
      <c r="I39" s="183"/>
      <c r="J39" s="183"/>
      <c r="K39" s="183"/>
      <c r="L39" s="183"/>
      <c r="M39" s="183"/>
      <c r="N39" s="183"/>
      <c r="O39" s="184"/>
    </row>
    <row r="40" spans="1:18" ht="15" thickBot="1">
      <c r="A40" s="109">
        <v>45812</v>
      </c>
      <c r="B40" s="105">
        <f>'JUNE 2025'!G19</f>
        <v>74.540970128802414</v>
      </c>
      <c r="C40" s="96">
        <f>'JUNE 2025'!M19</f>
        <v>61.386681282543165</v>
      </c>
      <c r="D40" s="96">
        <f>'JUNE 2025'!S19</f>
        <v>57.00191833379008</v>
      </c>
      <c r="E40" s="96">
        <f>'JUNE 2025'!Y19</f>
        <v>17.53905179501233</v>
      </c>
      <c r="F40" s="97">
        <f>'JUNE 2025'!AE19</f>
        <v>70.156207180049321</v>
      </c>
      <c r="G40" s="86">
        <f t="shared" si="5"/>
        <v>280.62482872019734</v>
      </c>
      <c r="H40" s="183" t="s">
        <v>36</v>
      </c>
      <c r="I40" s="183"/>
      <c r="J40" s="183"/>
      <c r="K40" s="183"/>
      <c r="L40" s="183"/>
      <c r="M40" s="183"/>
      <c r="N40" s="183"/>
      <c r="O40" s="184"/>
    </row>
    <row r="41" spans="1:18" ht="15" thickBot="1">
      <c r="A41" s="109">
        <v>45813</v>
      </c>
      <c r="B41" s="105">
        <f>'JUNE 2025'!G20</f>
        <v>74.540970128802414</v>
      </c>
      <c r="C41" s="96">
        <f>'JUNE 2025'!M20</f>
        <v>74.540970128802414</v>
      </c>
      <c r="D41" s="96">
        <f>'JUNE 2025'!S20</f>
        <v>74.540970128802414</v>
      </c>
      <c r="E41" s="96">
        <f>'JUNE 2025'!Y20</f>
        <v>0</v>
      </c>
      <c r="F41" s="97">
        <f>'JUNE 2025'!AE20</f>
        <v>43.847629487530831</v>
      </c>
      <c r="G41" s="86">
        <f t="shared" si="5"/>
        <v>267.47053987393804</v>
      </c>
      <c r="H41" s="183" t="s">
        <v>37</v>
      </c>
      <c r="I41" s="183"/>
      <c r="J41" s="183"/>
      <c r="K41" s="183"/>
      <c r="L41" s="183"/>
      <c r="M41" s="183"/>
      <c r="N41" s="183"/>
      <c r="O41" s="184"/>
    </row>
    <row r="42" spans="1:18" ht="15" thickBot="1">
      <c r="A42" s="109">
        <v>45814</v>
      </c>
      <c r="B42" s="105">
        <f>'JUNE 2025'!G21</f>
        <v>0</v>
      </c>
      <c r="C42" s="96">
        <f>'JUNE 2025'!M21</f>
        <v>0</v>
      </c>
      <c r="D42" s="96">
        <f>'JUNE 2025'!S21</f>
        <v>0</v>
      </c>
      <c r="E42" s="96">
        <f>'JUNE 2025'!Y21</f>
        <v>0</v>
      </c>
      <c r="F42" s="97">
        <f>'JUNE 2025'!AE21</f>
        <v>57.00191833379008</v>
      </c>
      <c r="G42" s="86">
        <f t="shared" si="5"/>
        <v>57.00191833379008</v>
      </c>
      <c r="H42" s="183" t="s">
        <v>38</v>
      </c>
      <c r="I42" s="183"/>
      <c r="J42" s="183"/>
      <c r="K42" s="183"/>
      <c r="L42" s="183"/>
      <c r="M42" s="183"/>
      <c r="N42" s="183"/>
      <c r="O42" s="184"/>
    </row>
    <row r="43" spans="1:18" ht="15" thickBot="1">
      <c r="A43" s="109">
        <v>45815</v>
      </c>
      <c r="B43" s="105">
        <f>'JUNE 2025'!G22</f>
        <v>43.847629487530831</v>
      </c>
      <c r="C43" s="96">
        <f>'JUNE 2025'!M22</f>
        <v>74.540970128802414</v>
      </c>
      <c r="D43" s="96">
        <f>'JUNE 2025'!S22</f>
        <v>61.386681282543165</v>
      </c>
      <c r="E43" s="96">
        <f>'JUNE 2025'!Y22</f>
        <v>92.080021923814741</v>
      </c>
      <c r="F43" s="97">
        <f>'JUNE 2025'!AE22</f>
        <v>74.540970128802414</v>
      </c>
      <c r="G43" s="86">
        <f t="shared" si="5"/>
        <v>346.39627295149359</v>
      </c>
      <c r="H43" s="183" t="s">
        <v>39</v>
      </c>
      <c r="I43" s="185"/>
      <c r="J43" s="185"/>
      <c r="K43" s="185"/>
      <c r="L43" s="185"/>
      <c r="M43" s="185"/>
      <c r="N43" s="185"/>
      <c r="O43" s="186"/>
    </row>
    <row r="44" spans="1:18" ht="15" thickBot="1">
      <c r="A44" s="109">
        <v>45816</v>
      </c>
      <c r="B44" s="105">
        <f>'JUNE 2025'!G23</f>
        <v>0</v>
      </c>
      <c r="C44" s="96">
        <f>'JUNE 2025'!M23</f>
        <v>0</v>
      </c>
      <c r="D44" s="96">
        <f>'JUNE 2025'!S23</f>
        <v>0</v>
      </c>
      <c r="E44" s="96">
        <f>'JUNE 2025'!Y23</f>
        <v>0</v>
      </c>
      <c r="F44" s="97">
        <f>'JUNE 2025'!AE23</f>
        <v>0</v>
      </c>
      <c r="G44" s="86">
        <f t="shared" si="5"/>
        <v>0</v>
      </c>
      <c r="H44" s="183" t="s">
        <v>40</v>
      </c>
      <c r="I44" s="183"/>
      <c r="J44" s="183"/>
      <c r="K44" s="183"/>
      <c r="L44" s="183"/>
      <c r="M44" s="183"/>
      <c r="N44" s="183"/>
      <c r="O44" s="184"/>
    </row>
    <row r="45" spans="1:18" ht="15" thickBot="1">
      <c r="A45" s="109">
        <v>45817</v>
      </c>
      <c r="B45" s="105">
        <f>'JUNE 2025'!G24</f>
        <v>70.156207180049321</v>
      </c>
      <c r="C45" s="96">
        <f>'JUNE 2025'!M24</f>
        <v>61.386681282543165</v>
      </c>
      <c r="D45" s="96">
        <f>'JUNE 2025'!S24</f>
        <v>0</v>
      </c>
      <c r="E45" s="96">
        <f>'JUNE 2025'!Y24</f>
        <v>92.080021923814741</v>
      </c>
      <c r="F45" s="97">
        <f>'JUNE 2025'!AE24</f>
        <v>0</v>
      </c>
      <c r="G45" s="86">
        <f t="shared" si="5"/>
        <v>223.62291038640723</v>
      </c>
      <c r="H45" s="183" t="s">
        <v>41</v>
      </c>
      <c r="I45" s="185"/>
      <c r="J45" s="185"/>
      <c r="K45" s="185"/>
      <c r="L45" s="185"/>
      <c r="M45" s="185"/>
      <c r="N45" s="185"/>
      <c r="O45" s="186"/>
    </row>
    <row r="46" spans="1:18" ht="15" thickBot="1">
      <c r="A46" s="109">
        <v>45818</v>
      </c>
      <c r="B46" s="105">
        <f>'JUNE 2025'!G25</f>
        <v>43.847629487530831</v>
      </c>
      <c r="C46" s="96">
        <f>'JUNE 2025'!M25</f>
        <v>74.540970128802414</v>
      </c>
      <c r="D46" s="96">
        <f>'JUNE 2025'!S25</f>
        <v>70.156207180049321</v>
      </c>
      <c r="E46" s="96">
        <f>'JUNE 2025'!Y25</f>
        <v>30.693340641271583</v>
      </c>
      <c r="F46" s="97">
        <f>'JUNE 2025'!AE25</f>
        <v>57.00191833379008</v>
      </c>
      <c r="G46" s="86">
        <f t="shared" si="5"/>
        <v>276.24006577144422</v>
      </c>
      <c r="H46" s="183" t="s">
        <v>42</v>
      </c>
      <c r="I46" s="183"/>
      <c r="J46" s="183"/>
      <c r="K46" s="183"/>
      <c r="L46" s="183"/>
      <c r="M46" s="183"/>
      <c r="N46" s="183"/>
      <c r="O46" s="184"/>
    </row>
    <row r="47" spans="1:18" ht="15" thickBot="1">
      <c r="A47" s="109">
        <v>45819</v>
      </c>
      <c r="B47" s="105">
        <f>'JUNE 2025'!G26</f>
        <v>61.386681282543165</v>
      </c>
      <c r="C47" s="96">
        <f>'JUNE 2025'!M26</f>
        <v>74.540970128802414</v>
      </c>
      <c r="D47" s="96">
        <f>'JUNE 2025'!S26</f>
        <v>39.462866538777746</v>
      </c>
      <c r="E47" s="96">
        <f>'JUNE 2025'!Y26</f>
        <v>48.232392436283916</v>
      </c>
      <c r="F47" s="97">
        <f>'JUNE 2025'!AE26</f>
        <v>57.00191833379008</v>
      </c>
      <c r="G47" s="86">
        <f t="shared" si="5"/>
        <v>280.62482872019729</v>
      </c>
      <c r="H47" s="183"/>
      <c r="I47" s="183"/>
      <c r="J47" s="183"/>
      <c r="K47" s="183"/>
      <c r="L47" s="183"/>
      <c r="M47" s="183"/>
      <c r="N47" s="183"/>
      <c r="O47" s="184"/>
    </row>
    <row r="48" spans="1:18" ht="15" thickBot="1">
      <c r="A48" s="109">
        <v>45820</v>
      </c>
      <c r="B48" s="105">
        <f>'JUNE 2025'!G27</f>
        <v>0</v>
      </c>
      <c r="C48" s="96">
        <f>'JUNE 2025'!M27</f>
        <v>0</v>
      </c>
      <c r="D48" s="96">
        <f>'JUNE 2025'!S27</f>
        <v>0</v>
      </c>
      <c r="E48" s="96">
        <f>'JUNE 2025'!Y27</f>
        <v>0</v>
      </c>
      <c r="F48" s="97">
        <f>'JUNE 2025'!AE27</f>
        <v>17.53905179501233</v>
      </c>
      <c r="G48" s="86">
        <f t="shared" si="5"/>
        <v>17.53905179501233</v>
      </c>
      <c r="H48" s="183" t="s">
        <v>43</v>
      </c>
      <c r="I48" s="183"/>
      <c r="J48" s="183"/>
      <c r="K48" s="183"/>
      <c r="L48" s="183"/>
      <c r="M48" s="183"/>
      <c r="N48" s="183"/>
      <c r="O48" s="184"/>
      <c r="R48" s="31" t="s">
        <v>44</v>
      </c>
    </row>
    <row r="49" spans="1:18" ht="15" thickBot="1">
      <c r="A49" s="109">
        <v>45821</v>
      </c>
      <c r="B49" s="105">
        <f>'JUNE 2025'!G28</f>
        <v>26.308577692518497</v>
      </c>
      <c r="C49" s="96">
        <f>'JUNE 2025'!M28</f>
        <v>74.540970128802414</v>
      </c>
      <c r="D49" s="96">
        <f>'JUNE 2025'!S28</f>
        <v>74.540970128802414</v>
      </c>
      <c r="E49" s="96">
        <f>'JUNE 2025'!Y28</f>
        <v>100.84954782132091</v>
      </c>
      <c r="F49" s="97">
        <f>'JUNE 2025'!AE28</f>
        <v>74.540970128802414</v>
      </c>
      <c r="G49" s="86">
        <f t="shared" si="5"/>
        <v>350.78103590024665</v>
      </c>
      <c r="H49" s="183" t="s">
        <v>45</v>
      </c>
      <c r="I49" s="183"/>
      <c r="J49" s="183"/>
      <c r="K49" s="183"/>
      <c r="L49" s="183"/>
      <c r="M49" s="183"/>
      <c r="N49" s="183"/>
      <c r="O49" s="184"/>
      <c r="Q49" s="31" t="s">
        <v>46</v>
      </c>
      <c r="R49" s="31">
        <v>467.40899999999999</v>
      </c>
    </row>
    <row r="50" spans="1:18" ht="15" thickBot="1">
      <c r="A50" s="109">
        <v>45822</v>
      </c>
      <c r="B50" s="105">
        <f>'JUNE 2025'!G29</f>
        <v>0</v>
      </c>
      <c r="C50" s="96">
        <f>'JUNE 2025'!M29</f>
        <v>74.540970128802414</v>
      </c>
      <c r="D50" s="96">
        <f>'JUNE 2025'!S29</f>
        <v>57.00191833379008</v>
      </c>
      <c r="E50" s="96">
        <f>'JUNE 2025'!Y29</f>
        <v>0</v>
      </c>
      <c r="F50" s="97">
        <f>'JUNE 2025'!AE29</f>
        <v>74.540970128802414</v>
      </c>
      <c r="G50" s="86">
        <f t="shared" si="5"/>
        <v>206.08385859139491</v>
      </c>
      <c r="H50" s="183" t="s">
        <v>47</v>
      </c>
      <c r="I50" s="183"/>
      <c r="J50" s="183"/>
      <c r="K50" s="183"/>
      <c r="L50" s="183"/>
      <c r="M50" s="183"/>
      <c r="N50" s="183"/>
      <c r="O50" s="184"/>
    </row>
    <row r="51" spans="1:18" ht="15" thickBot="1">
      <c r="A51" s="109">
        <v>45823</v>
      </c>
      <c r="B51" s="105">
        <f>'JUNE 2025'!G30</f>
        <v>0</v>
      </c>
      <c r="C51" s="96">
        <f>'JUNE 2025'!M30</f>
        <v>0</v>
      </c>
      <c r="D51" s="96">
        <f>'JUNE 2025'!S30</f>
        <v>0</v>
      </c>
      <c r="E51" s="96">
        <f>'JUNE 2025'!Y30</f>
        <v>0</v>
      </c>
      <c r="F51" s="97">
        <f>'JUNE 2025'!AE30</f>
        <v>0</v>
      </c>
      <c r="G51" s="86">
        <f t="shared" si="5"/>
        <v>0</v>
      </c>
      <c r="H51" s="183"/>
      <c r="I51" s="183"/>
      <c r="J51" s="183"/>
      <c r="K51" s="183"/>
      <c r="L51" s="183"/>
      <c r="M51" s="183"/>
      <c r="N51" s="183"/>
      <c r="O51" s="184"/>
    </row>
    <row r="52" spans="1:18" ht="15" thickBot="1">
      <c r="A52" s="109">
        <v>45824</v>
      </c>
      <c r="B52" s="105">
        <f>'JUNE 2025'!G31</f>
        <v>26.308577692518497</v>
      </c>
      <c r="C52" s="96">
        <f>'JUNE 2025'!M31</f>
        <v>61.386681282543165</v>
      </c>
      <c r="D52" s="96">
        <f>'JUNE 2025'!S31</f>
        <v>74.540970128802414</v>
      </c>
      <c r="E52" s="96">
        <f>'JUNE 2025'!Y31</f>
        <v>57.00191833379008</v>
      </c>
      <c r="F52" s="97">
        <f>'JUNE 2025'!AE31</f>
        <v>0</v>
      </c>
      <c r="G52" s="86">
        <f t="shared" si="5"/>
        <v>219.23814743765416</v>
      </c>
      <c r="H52" s="183" t="s">
        <v>48</v>
      </c>
      <c r="I52" s="183"/>
      <c r="J52" s="183"/>
      <c r="K52" s="183"/>
      <c r="L52" s="183"/>
      <c r="M52" s="183"/>
      <c r="N52" s="183"/>
      <c r="O52" s="184"/>
    </row>
    <row r="53" spans="1:18" ht="15" thickBot="1">
      <c r="A53" s="109">
        <v>45825</v>
      </c>
      <c r="B53" s="105">
        <f>'JUNE 2025'!G32</f>
        <v>17.53905179501233</v>
      </c>
      <c r="C53" s="96">
        <f>'JUNE 2025'!M32</f>
        <v>74.540970128802414</v>
      </c>
      <c r="D53" s="96">
        <f>'JUNE 2025'!S32</f>
        <v>100.84954782132091</v>
      </c>
      <c r="E53" s="96">
        <f>'JUNE 2025'!Y32</f>
        <v>83.310496026308584</v>
      </c>
      <c r="F53" s="97">
        <f>'JUNE 2025'!AE32</f>
        <v>74.540970128802414</v>
      </c>
      <c r="G53" s="86">
        <f t="shared" si="5"/>
        <v>350.78103590024671</v>
      </c>
      <c r="H53" s="183"/>
      <c r="I53" s="183"/>
      <c r="J53" s="183"/>
      <c r="K53" s="183"/>
      <c r="L53" s="183"/>
      <c r="M53" s="183"/>
      <c r="N53" s="183"/>
      <c r="O53" s="184"/>
    </row>
    <row r="54" spans="1:18" ht="15" thickBot="1">
      <c r="A54" s="109">
        <v>45826</v>
      </c>
      <c r="B54" s="105">
        <f>'JUNE 2025'!G33</f>
        <v>0</v>
      </c>
      <c r="C54" s="96">
        <f>'JUNE 2025'!M33</f>
        <v>0</v>
      </c>
      <c r="D54" s="96">
        <f>'JUNE 2025'!S33</f>
        <v>74.540970128802414</v>
      </c>
      <c r="E54" s="96">
        <f>'JUNE 2025'!Y33</f>
        <v>0</v>
      </c>
      <c r="F54" s="97">
        <f>'JUNE 2025'!AE33</f>
        <v>65.771444231296243</v>
      </c>
      <c r="G54" s="86">
        <f t="shared" si="5"/>
        <v>140.31241436009867</v>
      </c>
      <c r="H54" s="183" t="s">
        <v>49</v>
      </c>
      <c r="I54" s="183"/>
      <c r="J54" s="183"/>
      <c r="K54" s="183"/>
      <c r="L54" s="183"/>
      <c r="M54" s="183"/>
      <c r="N54" s="183"/>
      <c r="O54" s="184"/>
    </row>
    <row r="55" spans="1:18" ht="15" thickBot="1">
      <c r="A55" s="109">
        <v>45827</v>
      </c>
      <c r="B55" s="105">
        <f>'JUNE 2025'!G34</f>
        <v>17.53905179501233</v>
      </c>
      <c r="C55" s="96">
        <f>'JUNE 2025'!M34</f>
        <v>0</v>
      </c>
      <c r="D55" s="96">
        <f>'JUNE 2025'!S34</f>
        <v>0</v>
      </c>
      <c r="E55" s="96">
        <f>'JUNE 2025'!Y34</f>
        <v>0</v>
      </c>
      <c r="F55" s="97">
        <f>'JUNE 2025'!AE34</f>
        <v>0</v>
      </c>
      <c r="G55" s="86">
        <f t="shared" si="5"/>
        <v>17.53905179501233</v>
      </c>
      <c r="H55" s="183" t="s">
        <v>50</v>
      </c>
      <c r="I55" s="183"/>
      <c r="J55" s="183"/>
      <c r="K55" s="183"/>
      <c r="L55" s="183"/>
      <c r="M55" s="183"/>
      <c r="N55" s="183"/>
      <c r="O55" s="184"/>
    </row>
    <row r="56" spans="1:18" ht="15" thickBot="1">
      <c r="A56" s="109">
        <v>45828</v>
      </c>
      <c r="B56" s="105">
        <f>'JUNE 2025'!G35</f>
        <v>0</v>
      </c>
      <c r="C56" s="96">
        <f>'JUNE 2025'!M35</f>
        <v>48.232392436283916</v>
      </c>
      <c r="D56" s="96">
        <f>'JUNE 2025'!S35</f>
        <v>35.078103590024661</v>
      </c>
      <c r="E56" s="96">
        <f>'JUNE 2025'!Y35</f>
        <v>17.53905179501233</v>
      </c>
      <c r="F56" s="97">
        <f>'JUNE 2025'!AE35</f>
        <v>35.078103590024661</v>
      </c>
      <c r="G56" s="86">
        <f t="shared" si="5"/>
        <v>135.92765141134558</v>
      </c>
      <c r="H56" s="183" t="s">
        <v>51</v>
      </c>
      <c r="I56" s="183"/>
      <c r="J56" s="183"/>
      <c r="K56" s="183"/>
      <c r="L56" s="183"/>
      <c r="M56" s="183"/>
      <c r="N56" s="183"/>
      <c r="O56" s="184"/>
    </row>
    <row r="57" spans="1:18" ht="15" thickBot="1">
      <c r="A57" s="109">
        <v>45829</v>
      </c>
      <c r="B57" s="105">
        <f>'JUNE 2025'!G36</f>
        <v>0</v>
      </c>
      <c r="C57" s="96">
        <f>'JUNE 2025'!M36</f>
        <v>74.540970128802414</v>
      </c>
      <c r="D57" s="96">
        <f>'JUNE 2025'!S36</f>
        <v>43.847629487530831</v>
      </c>
      <c r="E57" s="96">
        <f>'JUNE 2025'!Y36</f>
        <v>26.308577692518497</v>
      </c>
      <c r="F57" s="97">
        <f>'JUNE 2025'!AE36</f>
        <v>74.540970128802414</v>
      </c>
      <c r="G57" s="86">
        <f t="shared" si="5"/>
        <v>219.23814743765416</v>
      </c>
      <c r="H57" s="183" t="s">
        <v>52</v>
      </c>
      <c r="I57" s="183"/>
      <c r="J57" s="183"/>
      <c r="K57" s="183"/>
      <c r="L57" s="183"/>
      <c r="M57" s="183"/>
      <c r="N57" s="183"/>
      <c r="O57" s="184"/>
    </row>
    <row r="58" spans="1:18" ht="15" thickBot="1">
      <c r="A58" s="109">
        <v>45830</v>
      </c>
      <c r="B58" s="105">
        <f>'JUNE 2025'!G37</f>
        <v>0</v>
      </c>
      <c r="C58" s="96">
        <f>'JUNE 2025'!M37</f>
        <v>0</v>
      </c>
      <c r="D58" s="96">
        <f>'JUNE 2025'!S37</f>
        <v>0</v>
      </c>
      <c r="E58" s="96">
        <f>'JUNE 2025'!Y37</f>
        <v>0</v>
      </c>
      <c r="F58" s="97">
        <f>'JUNE 2025'!AE37</f>
        <v>0</v>
      </c>
      <c r="G58" s="86">
        <f t="shared" si="5"/>
        <v>0</v>
      </c>
      <c r="H58" s="183"/>
      <c r="I58" s="183"/>
      <c r="J58" s="183"/>
      <c r="K58" s="183"/>
      <c r="L58" s="183"/>
      <c r="M58" s="183"/>
      <c r="N58" s="183"/>
      <c r="O58" s="184"/>
    </row>
    <row r="59" spans="1:18" ht="15" thickBot="1">
      <c r="A59" s="109">
        <v>45831</v>
      </c>
      <c r="B59" s="105">
        <f>'JUNE 2025'!G38</f>
        <v>100.84954782132091</v>
      </c>
      <c r="C59" s="96">
        <f>'JUNE 2025'!M38</f>
        <v>74.540970128802414</v>
      </c>
      <c r="D59" s="96">
        <f>'JUNE 2025'!S38</f>
        <v>57.00191833379008</v>
      </c>
      <c r="E59" s="96">
        <f>'JUNE 2025'!Y38</f>
        <v>92.080021923814741</v>
      </c>
      <c r="F59" s="97">
        <f>'JUNE 2025'!AE38</f>
        <v>39.462866538777746</v>
      </c>
      <c r="G59" s="86">
        <f t="shared" si="5"/>
        <v>363.9353247465059</v>
      </c>
      <c r="H59" s="183"/>
      <c r="I59" s="183"/>
      <c r="J59" s="183"/>
      <c r="K59" s="183"/>
      <c r="L59" s="183"/>
      <c r="M59" s="183"/>
      <c r="N59" s="183"/>
      <c r="O59" s="184"/>
    </row>
    <row r="60" spans="1:18" ht="15" thickBot="1">
      <c r="A60" s="109">
        <v>45832</v>
      </c>
      <c r="B60" s="105">
        <f>'JUNE 2025'!G39</f>
        <v>0</v>
      </c>
      <c r="C60" s="96">
        <f>'JUNE 2025'!M39</f>
        <v>0</v>
      </c>
      <c r="D60" s="96">
        <f>'JUNE 2025'!S39</f>
        <v>74.540970128802414</v>
      </c>
      <c r="E60" s="96">
        <f>'JUNE 2025'!Y39</f>
        <v>0</v>
      </c>
      <c r="F60" s="97">
        <f>'JUNE 2025'!AE39</f>
        <v>100.84954782132091</v>
      </c>
      <c r="G60" s="86">
        <f t="shared" si="5"/>
        <v>175.39051795012332</v>
      </c>
      <c r="H60" s="183" t="s">
        <v>53</v>
      </c>
      <c r="I60" s="183"/>
      <c r="J60" s="183"/>
      <c r="K60" s="183"/>
      <c r="L60" s="183"/>
      <c r="M60" s="183"/>
      <c r="N60" s="183"/>
      <c r="O60" s="184"/>
    </row>
    <row r="61" spans="1:18" ht="15" thickBot="1">
      <c r="A61" s="109">
        <v>45833</v>
      </c>
      <c r="B61" s="105">
        <f>'JUNE 2025'!G40</f>
        <v>0</v>
      </c>
      <c r="C61" s="96">
        <f>'JUNE 2025'!M40</f>
        <v>74.540970128802414</v>
      </c>
      <c r="D61" s="96">
        <f>'JUNE 2025'!S40</f>
        <v>87.695258975061662</v>
      </c>
      <c r="E61" s="96">
        <f>'JUNE 2025'!Y40</f>
        <v>92.080021923814741</v>
      </c>
      <c r="F61" s="97">
        <f>'JUNE 2025'!AE40</f>
        <v>74.540970128802414</v>
      </c>
      <c r="G61" s="86">
        <f t="shared" si="5"/>
        <v>328.85722115648122</v>
      </c>
      <c r="H61" s="183" t="s">
        <v>54</v>
      </c>
      <c r="I61" s="183"/>
      <c r="J61" s="183"/>
      <c r="K61" s="183"/>
      <c r="L61" s="183"/>
      <c r="M61" s="183"/>
      <c r="N61" s="183"/>
      <c r="O61" s="184"/>
    </row>
    <row r="62" spans="1:18" ht="15" thickBot="1">
      <c r="A62" s="109">
        <v>45834</v>
      </c>
      <c r="B62" s="105">
        <f>'JUNE 2025'!G41</f>
        <v>43.847629487530831</v>
      </c>
      <c r="C62" s="96">
        <f>'JUNE 2025'!M41</f>
        <v>61.386681282543165</v>
      </c>
      <c r="D62" s="96">
        <f>'JUNE 2025'!S41</f>
        <v>74.540970128802414</v>
      </c>
      <c r="E62" s="96">
        <f>'JUNE 2025'!Y41</f>
        <v>17.53905179501233</v>
      </c>
      <c r="F62" s="97">
        <f>'JUNE 2025'!AE41</f>
        <v>188.54480679638257</v>
      </c>
      <c r="G62" s="86">
        <f t="shared" si="5"/>
        <v>385.85913949027133</v>
      </c>
      <c r="H62" s="183" t="s">
        <v>55</v>
      </c>
      <c r="I62" s="183"/>
      <c r="J62" s="183"/>
      <c r="K62" s="183"/>
      <c r="L62" s="183"/>
      <c r="M62" s="183"/>
      <c r="N62" s="183"/>
      <c r="O62" s="184"/>
    </row>
    <row r="63" spans="1:18" ht="15" thickBot="1">
      <c r="A63" s="109">
        <v>45835</v>
      </c>
      <c r="B63" s="105">
        <f>'JUNE 2025'!G42</f>
        <v>83.310496026308584</v>
      </c>
      <c r="C63" s="96">
        <f>'JUNE 2025'!M42</f>
        <v>74.540970128802414</v>
      </c>
      <c r="D63" s="96">
        <f>'JUNE 2025'!S42</f>
        <v>74.540970128802414</v>
      </c>
      <c r="E63" s="96">
        <f>'JUNE 2025'!Y42</f>
        <v>0</v>
      </c>
      <c r="F63" s="97">
        <f>'JUNE 2025'!AE42</f>
        <v>0</v>
      </c>
      <c r="G63" s="86">
        <f t="shared" si="5"/>
        <v>232.39243628391341</v>
      </c>
      <c r="H63" s="183" t="s">
        <v>56</v>
      </c>
      <c r="I63" s="183"/>
      <c r="J63" s="183"/>
      <c r="K63" s="183"/>
      <c r="L63" s="183"/>
      <c r="M63" s="183"/>
      <c r="N63" s="183"/>
      <c r="O63" s="184"/>
    </row>
    <row r="64" spans="1:18" ht="15" thickBot="1">
      <c r="A64" s="109">
        <v>45836</v>
      </c>
      <c r="B64" s="105">
        <f>'JUNE 2025'!G43</f>
        <v>0</v>
      </c>
      <c r="C64" s="96">
        <f>'JUNE 2025'!M43</f>
        <v>61.386681282543165</v>
      </c>
      <c r="D64" s="96">
        <f>'JUNE 2025'!S43</f>
        <v>74.540970128802414</v>
      </c>
      <c r="E64" s="96">
        <f>'JUNE 2025'!Y43</f>
        <v>92.080021923814741</v>
      </c>
      <c r="F64" s="97">
        <f>'JUNE 2025'!AE43</f>
        <v>17.53905179501233</v>
      </c>
      <c r="G64" s="86">
        <f t="shared" si="5"/>
        <v>245.54672513017266</v>
      </c>
      <c r="H64" s="183" t="s">
        <v>57</v>
      </c>
      <c r="I64" s="183"/>
      <c r="J64" s="183"/>
      <c r="K64" s="183"/>
      <c r="L64" s="183"/>
      <c r="M64" s="183"/>
      <c r="N64" s="183"/>
      <c r="O64" s="184"/>
    </row>
    <row r="65" spans="1:15" ht="15" thickBot="1">
      <c r="A65" s="109">
        <v>45837</v>
      </c>
      <c r="B65" s="105">
        <f>'JUNE 2025'!G44</f>
        <v>0</v>
      </c>
      <c r="C65" s="96">
        <f>'JUNE 2025'!M44</f>
        <v>0</v>
      </c>
      <c r="D65" s="96">
        <f>'JUNE 2025'!S44</f>
        <v>0</v>
      </c>
      <c r="E65" s="96">
        <f>'JUNE 2025'!Y44</f>
        <v>0</v>
      </c>
      <c r="F65" s="97">
        <f>'JUNE 2025'!AE44</f>
        <v>0</v>
      </c>
      <c r="G65" s="86">
        <f t="shared" si="5"/>
        <v>0</v>
      </c>
      <c r="H65" s="183"/>
      <c r="I65" s="183"/>
      <c r="J65" s="183"/>
      <c r="K65" s="183"/>
      <c r="L65" s="183"/>
      <c r="M65" s="183"/>
      <c r="N65" s="183"/>
      <c r="O65" s="184"/>
    </row>
    <row r="66" spans="1:15" ht="15" thickBot="1">
      <c r="A66" s="110">
        <v>45838</v>
      </c>
      <c r="B66" s="106">
        <f>'JUNE 2025'!G45</f>
        <v>83.310496026308584</v>
      </c>
      <c r="C66" s="103">
        <f>'JUNE 2025'!M45</f>
        <v>61.386681282543165</v>
      </c>
      <c r="D66" s="103">
        <f>'JUNE 2025'!S45</f>
        <v>0</v>
      </c>
      <c r="E66" s="103">
        <f>'JUNE 2025'!Y45</f>
        <v>0</v>
      </c>
      <c r="F66" s="104">
        <f>'JUNE 2025'!AE45</f>
        <v>43.847629487530831</v>
      </c>
      <c r="G66" s="87">
        <f t="shared" si="5"/>
        <v>188.54480679638257</v>
      </c>
      <c r="H66" s="183" t="s">
        <v>58</v>
      </c>
      <c r="I66" s="183"/>
      <c r="J66" s="183"/>
      <c r="K66" s="183"/>
      <c r="L66" s="183"/>
      <c r="M66" s="183"/>
      <c r="N66" s="183"/>
      <c r="O66" s="184"/>
    </row>
    <row r="70" spans="1:15">
      <c r="A70" s="25" t="s">
        <v>59</v>
      </c>
      <c r="B70" s="177" t="s">
        <v>2</v>
      </c>
      <c r="C70" s="178"/>
      <c r="D70" s="178"/>
      <c r="E70" s="178"/>
      <c r="F70" s="179" t="s">
        <v>3</v>
      </c>
      <c r="G70" s="179" t="s">
        <v>4</v>
      </c>
      <c r="H70" s="181" t="s">
        <v>5</v>
      </c>
      <c r="I70" s="181" t="s">
        <v>6</v>
      </c>
    </row>
    <row r="71" spans="1:15">
      <c r="A71" s="26" t="s">
        <v>7</v>
      </c>
      <c r="B71" s="22" t="s">
        <v>8</v>
      </c>
      <c r="C71" s="23" t="s">
        <v>9</v>
      </c>
      <c r="D71" s="23" t="s">
        <v>10</v>
      </c>
      <c r="E71" s="24" t="s">
        <v>11</v>
      </c>
      <c r="F71" s="180"/>
      <c r="G71" s="180"/>
      <c r="H71" s="182"/>
      <c r="I71" s="182"/>
    </row>
    <row r="72" spans="1:15">
      <c r="A72" s="27" t="s">
        <v>12</v>
      </c>
      <c r="B72" s="1">
        <v>3</v>
      </c>
      <c r="C72" s="2">
        <v>1</v>
      </c>
      <c r="D72" s="2">
        <v>1</v>
      </c>
      <c r="E72" s="3">
        <v>1</v>
      </c>
      <c r="F72" s="4">
        <f>(B72*4)+(C72*6)+(D72*4)+(E72*3)</f>
        <v>25</v>
      </c>
      <c r="G72" s="5">
        <f>($F72*8*26)/1.8245</f>
        <v>2850.0959166895041</v>
      </c>
      <c r="H72" s="19">
        <f>G72/4</f>
        <v>712.52397917237602</v>
      </c>
      <c r="I72" s="53">
        <f>($F72*8)/1.8245</f>
        <v>109.61907371882708</v>
      </c>
    </row>
    <row r="73" spans="1:15">
      <c r="A73" s="28" t="s">
        <v>13</v>
      </c>
      <c r="B73" s="6">
        <v>2</v>
      </c>
      <c r="C73" s="7">
        <v>1</v>
      </c>
      <c r="D73" s="8">
        <v>1</v>
      </c>
      <c r="E73" s="9">
        <v>1</v>
      </c>
      <c r="F73" s="4">
        <f>(B73*4)+(C73*6)+(D73*4)+(E73*3)</f>
        <v>21</v>
      </c>
      <c r="G73" s="5">
        <f>($F73*8*26)/1.8245</f>
        <v>2394.0805700191831</v>
      </c>
      <c r="H73" s="20">
        <f>G73/4</f>
        <v>598.52014250479579</v>
      </c>
      <c r="I73" s="53">
        <f>($F73*8)/1.8245</f>
        <v>92.080021923814741</v>
      </c>
    </row>
    <row r="74" spans="1:15">
      <c r="A74" s="28" t="s">
        <v>14</v>
      </c>
      <c r="B74" s="10">
        <v>2</v>
      </c>
      <c r="C74" s="8">
        <v>1</v>
      </c>
      <c r="D74" s="8">
        <v>1</v>
      </c>
      <c r="E74" s="11">
        <v>1</v>
      </c>
      <c r="F74" s="4">
        <f>(B74*4)+(C74*6)+(D74*4)+(E74*3)</f>
        <v>21</v>
      </c>
      <c r="G74" s="5">
        <f>($F74*8*26)/1.8245</f>
        <v>2394.0805700191831</v>
      </c>
      <c r="H74" s="20">
        <f>G74/4</f>
        <v>598.52014250479579</v>
      </c>
      <c r="I74" s="53">
        <f>($F74*8)/1.8245</f>
        <v>92.080021923814741</v>
      </c>
    </row>
    <row r="75" spans="1:15">
      <c r="A75" s="28" t="s">
        <v>15</v>
      </c>
      <c r="B75" s="6">
        <v>2</v>
      </c>
      <c r="C75" s="12">
        <v>1</v>
      </c>
      <c r="D75" s="8">
        <v>1</v>
      </c>
      <c r="E75" s="11">
        <v>1</v>
      </c>
      <c r="F75" s="4">
        <f>(B75*4)+(C75*6)+(D75*4)+(E75*3)</f>
        <v>21</v>
      </c>
      <c r="G75" s="5">
        <f>($F75*8*26)/1.8245</f>
        <v>2394.0805700191831</v>
      </c>
      <c r="H75" s="20">
        <f>G75/4</f>
        <v>598.52014250479579</v>
      </c>
      <c r="I75" s="53">
        <f>($F75*8)/1.8245</f>
        <v>92.080021923814741</v>
      </c>
    </row>
    <row r="76" spans="1:15">
      <c r="A76" s="29" t="s">
        <v>16</v>
      </c>
      <c r="B76" s="13">
        <v>2</v>
      </c>
      <c r="C76" s="14">
        <v>1</v>
      </c>
      <c r="D76" s="14"/>
      <c r="E76" s="15">
        <v>1</v>
      </c>
      <c r="F76" s="4">
        <f>(B76*4)+(C76*6)+(D76*4)+(E76*3)</f>
        <v>17</v>
      </c>
      <c r="G76" s="5">
        <f>($F76*8*26)/1.8245</f>
        <v>1938.0652233488627</v>
      </c>
      <c r="H76" s="21">
        <f>G76/4</f>
        <v>484.51630583721567</v>
      </c>
      <c r="I76" s="53">
        <f>($F76*8)/1.8245</f>
        <v>74.540970128802414</v>
      </c>
    </row>
    <row r="77" spans="1:15">
      <c r="A77" s="30" t="s">
        <v>17</v>
      </c>
      <c r="B77" s="16">
        <f>SUM(B72:B76)</f>
        <v>11</v>
      </c>
      <c r="C77" s="16">
        <f>SUM(C72:C76)</f>
        <v>5</v>
      </c>
      <c r="D77" s="16">
        <f>SUM(D72:D76)</f>
        <v>4</v>
      </c>
      <c r="E77" s="17">
        <f>SUM(E72:E76)</f>
        <v>5</v>
      </c>
      <c r="F77" s="51">
        <f>SUM(F72:F76)</f>
        <v>105</v>
      </c>
      <c r="G77" s="18">
        <f>(F77*8*26)/1.8245</f>
        <v>11970.402850095918</v>
      </c>
      <c r="H77" s="18">
        <f>SUM(H72:H76)</f>
        <v>2992.6007125239794</v>
      </c>
      <c r="I77" s="18">
        <f>SUM(I72:I76)</f>
        <v>460.4001096190737</v>
      </c>
    </row>
    <row r="80" spans="1:15" ht="15" thickBot="1">
      <c r="B80" s="173" t="s">
        <v>18</v>
      </c>
      <c r="C80" s="173"/>
      <c r="D80" s="173"/>
      <c r="E80" s="173"/>
      <c r="F80" s="173"/>
      <c r="G80" s="173"/>
    </row>
    <row r="81" spans="1:15" ht="15" thickBot="1">
      <c r="A81" s="107" t="s">
        <v>19</v>
      </c>
      <c r="B81" s="47" t="s">
        <v>12</v>
      </c>
      <c r="C81" s="48" t="s">
        <v>20</v>
      </c>
      <c r="D81" s="48" t="s">
        <v>14</v>
      </c>
      <c r="E81" s="48" t="s">
        <v>21</v>
      </c>
      <c r="F81" s="49" t="s">
        <v>16</v>
      </c>
      <c r="G81" s="46" t="s">
        <v>17</v>
      </c>
      <c r="H81" s="174" t="s">
        <v>22</v>
      </c>
      <c r="I81" s="175"/>
      <c r="J81" s="175"/>
      <c r="K81" s="175"/>
      <c r="L81" s="175"/>
      <c r="M81" s="175"/>
      <c r="N81" s="175"/>
      <c r="O81" s="176"/>
    </row>
    <row r="82" spans="1:15" ht="15" thickBot="1">
      <c r="A82" s="108">
        <v>45839</v>
      </c>
      <c r="B82" s="105">
        <f>'JULY 2025'!G16</f>
        <v>57.00191833379008</v>
      </c>
      <c r="C82" s="105">
        <f>'JULY 2025'!M16</f>
        <v>61.386681282543165</v>
      </c>
      <c r="D82" s="105">
        <f>'JULY 2025'!S16</f>
        <v>0</v>
      </c>
      <c r="E82" s="105">
        <f>'JULY 2025'!Y16</f>
        <v>26.308577692518497</v>
      </c>
      <c r="F82" s="105">
        <f>'JULY 2025'!AE16</f>
        <v>43.847629487530831</v>
      </c>
      <c r="G82" s="86">
        <f>SUM(B82:F82)</f>
        <v>188.54480679638257</v>
      </c>
      <c r="H82" s="169" t="s">
        <v>60</v>
      </c>
      <c r="I82" s="170"/>
      <c r="J82" s="170"/>
      <c r="K82" s="170"/>
      <c r="L82" s="170"/>
      <c r="M82" s="170"/>
      <c r="N82" s="170"/>
      <c r="O82" s="171"/>
    </row>
    <row r="83" spans="1:15" ht="15" thickBot="1">
      <c r="A83" s="108">
        <v>45840</v>
      </c>
      <c r="B83" s="105">
        <f>'JULY 2025'!G17</f>
        <v>43.847629487530831</v>
      </c>
      <c r="C83" s="105">
        <f>'JULY 2025'!M17</f>
        <v>61.386681282543165</v>
      </c>
      <c r="D83" s="105">
        <f>'JULY 2025'!S17</f>
        <v>74.540970128802414</v>
      </c>
      <c r="E83" s="105">
        <f>'JULY 2025'!Y17</f>
        <v>100.84954782132091</v>
      </c>
      <c r="F83" s="105">
        <f>'JULY 2025'!AE17</f>
        <v>96.464784872567833</v>
      </c>
      <c r="G83" s="86">
        <f t="shared" ref="G83:G112" si="6">SUM(B83:F83)</f>
        <v>377.0896135927652</v>
      </c>
      <c r="H83" s="169"/>
      <c r="I83" s="170"/>
      <c r="J83" s="170"/>
      <c r="K83" s="170"/>
      <c r="L83" s="170"/>
      <c r="M83" s="170"/>
      <c r="N83" s="170"/>
      <c r="O83" s="171"/>
    </row>
    <row r="84" spans="1:15" ht="15" thickBot="1">
      <c r="A84" s="108">
        <v>45841</v>
      </c>
      <c r="B84" s="105">
        <f>'JULY 2025'!G18</f>
        <v>26.308577692518497</v>
      </c>
      <c r="C84" s="105">
        <f>'JULY 2025'!M18</f>
        <v>61.386681282543165</v>
      </c>
      <c r="D84" s="105">
        <f>'JULY 2025'!S18</f>
        <v>43.847629487530831</v>
      </c>
      <c r="E84" s="105">
        <f>'JULY 2025'!Y18</f>
        <v>74.540970128802414</v>
      </c>
      <c r="F84" s="105">
        <f>'JULY 2025'!AE18</f>
        <v>135.92765141134558</v>
      </c>
      <c r="G84" s="86">
        <f t="shared" si="6"/>
        <v>342.01151000274047</v>
      </c>
      <c r="H84" s="169"/>
      <c r="I84" s="170"/>
      <c r="J84" s="170"/>
      <c r="K84" s="170"/>
      <c r="L84" s="170"/>
      <c r="M84" s="170"/>
      <c r="N84" s="170"/>
      <c r="O84" s="171"/>
    </row>
    <row r="85" spans="1:15" ht="15" thickBot="1">
      <c r="A85" s="108">
        <v>45842</v>
      </c>
      <c r="B85" s="105">
        <f>'JULY 2025'!G19</f>
        <v>83.310496026308584</v>
      </c>
      <c r="C85" s="105">
        <f>'JULY 2025'!M19</f>
        <v>74.540970128802414</v>
      </c>
      <c r="D85" s="105">
        <f>'JULY 2025'!S19</f>
        <v>0</v>
      </c>
      <c r="E85" s="105">
        <f>'JULY 2025'!Y19</f>
        <v>118.38859961633324</v>
      </c>
      <c r="F85" s="105">
        <f>'JULY 2025'!AE19</f>
        <v>118.38859961633324</v>
      </c>
      <c r="G85" s="86">
        <f t="shared" si="6"/>
        <v>394.62866538777746</v>
      </c>
      <c r="H85" s="169" t="s">
        <v>61</v>
      </c>
      <c r="I85" s="170"/>
      <c r="J85" s="170"/>
      <c r="K85" s="170"/>
      <c r="L85" s="170"/>
      <c r="M85" s="170"/>
      <c r="N85" s="170"/>
      <c r="O85" s="171"/>
    </row>
    <row r="86" spans="1:15" ht="15" thickBot="1">
      <c r="A86" s="108">
        <v>45843</v>
      </c>
      <c r="B86" s="105">
        <f>'JULY 2025'!G20</f>
        <v>17.53905179501233</v>
      </c>
      <c r="C86" s="105">
        <f>'JULY 2025'!M20</f>
        <v>74.540970128802414</v>
      </c>
      <c r="D86" s="105">
        <f>'JULY 2025'!S20</f>
        <v>30.693340641271583</v>
      </c>
      <c r="E86" s="105">
        <f>'JULY 2025'!Y20</f>
        <v>0</v>
      </c>
      <c r="F86" s="105">
        <f>'JULY 2025'!AE20</f>
        <v>74.540970128802414</v>
      </c>
      <c r="G86" s="86">
        <f t="shared" si="6"/>
        <v>197.31433269388873</v>
      </c>
      <c r="H86" s="169" t="s">
        <v>62</v>
      </c>
      <c r="I86" s="170"/>
      <c r="J86" s="170"/>
      <c r="K86" s="170"/>
      <c r="L86" s="170"/>
      <c r="M86" s="170"/>
      <c r="N86" s="170"/>
      <c r="O86" s="171"/>
    </row>
    <row r="87" spans="1:15" ht="15" thickBot="1">
      <c r="A87" s="108">
        <v>45844</v>
      </c>
      <c r="B87" s="105">
        <f>'JULY 2025'!G21</f>
        <v>0</v>
      </c>
      <c r="C87" s="105">
        <f>'JULY 2025'!M21</f>
        <v>0</v>
      </c>
      <c r="D87" s="105">
        <f>'JULY 2025'!S21</f>
        <v>0</v>
      </c>
      <c r="E87" s="105">
        <f>'JULY 2025'!Y21</f>
        <v>0</v>
      </c>
      <c r="F87" s="105">
        <f>'JULY 2025'!AE21</f>
        <v>0</v>
      </c>
      <c r="G87" s="86">
        <f t="shared" si="6"/>
        <v>0</v>
      </c>
      <c r="H87" s="169"/>
      <c r="I87" s="170"/>
      <c r="J87" s="170"/>
      <c r="K87" s="170"/>
      <c r="L87" s="170"/>
      <c r="M87" s="170"/>
      <c r="N87" s="170"/>
      <c r="O87" s="171"/>
    </row>
    <row r="88" spans="1:15" ht="15" thickBot="1">
      <c r="A88" s="108">
        <v>45845</v>
      </c>
      <c r="B88" s="105">
        <f>'JULY 2025'!G22</f>
        <v>43.847629487530831</v>
      </c>
      <c r="C88" s="105">
        <f>'JULY 2025'!M22</f>
        <v>61.386681282543165</v>
      </c>
      <c r="D88" s="105">
        <f>'JULY 2025'!S22</f>
        <v>0</v>
      </c>
      <c r="E88" s="105">
        <f>'JULY 2025'!Y22</f>
        <v>100.84954782132091</v>
      </c>
      <c r="F88" s="105">
        <f>'JULY 2025'!AE22</f>
        <v>57.00191833379008</v>
      </c>
      <c r="G88" s="86">
        <f t="shared" si="6"/>
        <v>263.08577692518497</v>
      </c>
      <c r="H88" s="169" t="s">
        <v>63</v>
      </c>
      <c r="I88" s="170"/>
      <c r="J88" s="170"/>
      <c r="K88" s="170"/>
      <c r="L88" s="170"/>
      <c r="M88" s="170"/>
      <c r="N88" s="170"/>
      <c r="O88" s="171"/>
    </row>
    <row r="89" spans="1:15" ht="15" thickBot="1">
      <c r="A89" s="108">
        <v>45846</v>
      </c>
      <c r="B89" s="105">
        <f>'JULY 2025'!G23</f>
        <v>87.695258975061662</v>
      </c>
      <c r="C89" s="105">
        <f>'JULY 2025'!M23</f>
        <v>74.540970128802414</v>
      </c>
      <c r="D89" s="105">
        <f>'JULY 2025'!S23</f>
        <v>57.00191833379008</v>
      </c>
      <c r="E89" s="105">
        <f>'JULY 2025'!Y23</f>
        <v>17.53905179501233</v>
      </c>
      <c r="F89" s="105">
        <f>'JULY 2025'!AE23</f>
        <v>118.38859961633324</v>
      </c>
      <c r="G89" s="86">
        <f t="shared" si="6"/>
        <v>355.16579884899977</v>
      </c>
      <c r="H89" s="169"/>
      <c r="I89" s="170"/>
      <c r="J89" s="170"/>
      <c r="K89" s="170"/>
      <c r="L89" s="170"/>
      <c r="M89" s="170"/>
      <c r="N89" s="170"/>
      <c r="O89" s="171"/>
    </row>
    <row r="90" spans="1:15" ht="14.45" customHeight="1" thickBot="1">
      <c r="A90" s="108">
        <v>45847</v>
      </c>
      <c r="B90" s="105">
        <f>'JULY 2025'!G24</f>
        <v>0</v>
      </c>
      <c r="C90" s="105">
        <f>'JULY 2025'!M24</f>
        <v>74.540970128802414</v>
      </c>
      <c r="D90" s="105">
        <f>'JULY 2025'!S24</f>
        <v>61.386681282543165</v>
      </c>
      <c r="E90" s="105">
        <f>'JULY 2025'!Y24</f>
        <v>83.310496026308584</v>
      </c>
      <c r="F90" s="105">
        <f>'JULY 2025'!AE24</f>
        <v>52.617155385036995</v>
      </c>
      <c r="G90" s="86">
        <f t="shared" si="6"/>
        <v>271.85530282269116</v>
      </c>
      <c r="H90" s="169" t="s">
        <v>64</v>
      </c>
      <c r="I90" s="170"/>
      <c r="J90" s="170"/>
      <c r="K90" s="170"/>
      <c r="L90" s="170"/>
      <c r="M90" s="170"/>
      <c r="N90" s="170"/>
      <c r="O90" s="171"/>
    </row>
    <row r="91" spans="1:15" ht="15" thickBot="1">
      <c r="A91" s="108">
        <v>45848</v>
      </c>
      <c r="B91" s="105">
        <f>'JULY 2025'!G25</f>
        <v>83.310496026308584</v>
      </c>
      <c r="C91" s="105">
        <f>'JULY 2025'!M25</f>
        <v>74.540970128802414</v>
      </c>
      <c r="D91" s="105">
        <f>'JULY 2025'!S25</f>
        <v>61.386681282543165</v>
      </c>
      <c r="E91" s="105">
        <f>'JULY 2025'!Y25</f>
        <v>26.308577692518497</v>
      </c>
      <c r="F91" s="105">
        <f>'JULY 2025'!AE25</f>
        <v>74.540970128802414</v>
      </c>
      <c r="G91" s="86">
        <f t="shared" si="6"/>
        <v>320.08769525897509</v>
      </c>
      <c r="O91" s="166"/>
    </row>
    <row r="92" spans="1:15" ht="15" thickBot="1">
      <c r="A92" s="108">
        <v>45849</v>
      </c>
      <c r="B92" s="105">
        <f>'JULY 2025'!G26</f>
        <v>83.310496026308584</v>
      </c>
      <c r="C92" s="105">
        <f>'JULY 2025'!M26</f>
        <v>61.386681282543165</v>
      </c>
      <c r="D92" s="105">
        <f>'JULY 2025'!S26</f>
        <v>74.540970128802414</v>
      </c>
      <c r="E92" s="105">
        <f>'JULY 2025'!Y26</f>
        <v>83.310496026308584</v>
      </c>
      <c r="F92" s="105">
        <f>'JULY 2025'!AE26</f>
        <v>52.617155385036995</v>
      </c>
      <c r="G92" s="86">
        <f t="shared" si="6"/>
        <v>355.16579884899977</v>
      </c>
      <c r="H92" s="169"/>
      <c r="I92" s="170"/>
      <c r="J92" s="170"/>
      <c r="K92" s="170"/>
      <c r="L92" s="170"/>
      <c r="M92" s="170"/>
      <c r="N92" s="170"/>
      <c r="O92" s="171"/>
    </row>
    <row r="93" spans="1:15" ht="15" thickBot="1">
      <c r="A93" s="108">
        <v>45850</v>
      </c>
      <c r="B93" s="105">
        <f>'JULY 2025'!G27</f>
        <v>61.386681282543165</v>
      </c>
      <c r="C93" s="105">
        <f>'JULY 2025'!M27</f>
        <v>74.540970128802414</v>
      </c>
      <c r="D93" s="105">
        <f>'JULY 2025'!S27</f>
        <v>57.00191833379008</v>
      </c>
      <c r="E93" s="105">
        <f>'JULY 2025'!Y27</f>
        <v>74.540970128802414</v>
      </c>
      <c r="F93" s="105">
        <f>'JULY 2025'!AE27</f>
        <v>17.53905179501233</v>
      </c>
      <c r="G93" s="86">
        <f t="shared" si="6"/>
        <v>285.00959166895041</v>
      </c>
      <c r="H93" s="169"/>
      <c r="I93" s="170"/>
      <c r="J93" s="170"/>
      <c r="K93" s="170"/>
      <c r="L93" s="170"/>
      <c r="M93" s="170"/>
      <c r="N93" s="170"/>
      <c r="O93" s="171"/>
    </row>
    <row r="94" spans="1:15" ht="15" thickBot="1">
      <c r="A94" s="108">
        <v>45851</v>
      </c>
      <c r="B94" s="105">
        <f>'JULY 2025'!G28</f>
        <v>0</v>
      </c>
      <c r="C94" s="105">
        <f>'JULY 2025'!M28</f>
        <v>0</v>
      </c>
      <c r="D94" s="105">
        <f>'JULY 2025'!S28</f>
        <v>0</v>
      </c>
      <c r="E94" s="105">
        <f>'JULY 2025'!Y28</f>
        <v>0</v>
      </c>
      <c r="F94" s="105">
        <f>'JULY 2025'!AE28</f>
        <v>118.38859961633324</v>
      </c>
      <c r="G94" s="86">
        <f t="shared" si="6"/>
        <v>118.38859961633324</v>
      </c>
      <c r="H94" s="169" t="s">
        <v>65</v>
      </c>
      <c r="I94" s="170"/>
      <c r="J94" s="170"/>
      <c r="K94" s="170"/>
      <c r="L94" s="170"/>
      <c r="M94" s="170"/>
      <c r="N94" s="170"/>
      <c r="O94" s="171"/>
    </row>
    <row r="95" spans="1:15" ht="15" thickBot="1">
      <c r="A95" s="108">
        <v>45852</v>
      </c>
      <c r="B95" s="105">
        <f>'JULY 2025'!G29</f>
        <v>74.540970128802414</v>
      </c>
      <c r="C95" s="105">
        <f>'JULY 2025'!M29</f>
        <v>74.540970128802414</v>
      </c>
      <c r="D95" s="105">
        <f>'JULY 2025'!S29</f>
        <v>57.00191833379008</v>
      </c>
      <c r="E95" s="105">
        <f>'JULY 2025'!Y29</f>
        <v>43.847629487530831</v>
      </c>
      <c r="F95" s="105">
        <f>'JULY 2025'!AE29</f>
        <v>0</v>
      </c>
      <c r="G95" s="86">
        <f t="shared" si="6"/>
        <v>249.93148807892575</v>
      </c>
      <c r="H95" s="169" t="s">
        <v>66</v>
      </c>
      <c r="I95" s="170"/>
      <c r="J95" s="170"/>
      <c r="K95" s="170"/>
      <c r="L95" s="170"/>
      <c r="M95" s="170"/>
      <c r="N95" s="170"/>
      <c r="O95" s="171"/>
    </row>
    <row r="96" spans="1:15" ht="15" thickBot="1">
      <c r="A96" s="108">
        <v>45853</v>
      </c>
      <c r="B96" s="105">
        <f>'JULY 2025'!G30</f>
        <v>74.540970128802414</v>
      </c>
      <c r="C96" s="105">
        <f>'JULY 2025'!M30</f>
        <v>74.540970128802414</v>
      </c>
      <c r="D96" s="105">
        <f>'JULY 2025'!S30</f>
        <v>0</v>
      </c>
      <c r="E96" s="105">
        <f>'JULY 2025'!Y30</f>
        <v>43.847629487530831</v>
      </c>
      <c r="F96" s="105">
        <f>'JULY 2025'!AE30</f>
        <v>74.540970128802414</v>
      </c>
      <c r="G96" s="86">
        <f t="shared" si="6"/>
        <v>267.47053987393809</v>
      </c>
      <c r="H96" s="169" t="s">
        <v>67</v>
      </c>
      <c r="I96" s="170"/>
      <c r="J96" s="170"/>
      <c r="K96" s="170"/>
      <c r="L96" s="170"/>
      <c r="M96" s="170"/>
      <c r="N96" s="170"/>
      <c r="O96" s="171"/>
    </row>
    <row r="97" spans="1:15" ht="15" thickBot="1">
      <c r="A97" s="108">
        <v>45854</v>
      </c>
      <c r="B97" s="105">
        <f>'JULY 2025'!G31</f>
        <v>43.847629487530831</v>
      </c>
      <c r="C97" s="105">
        <f>'JULY 2025'!M31</f>
        <v>78.925733077555492</v>
      </c>
      <c r="D97" s="105">
        <f>'JULY 2025'!S31</f>
        <v>0</v>
      </c>
      <c r="E97" s="105">
        <f>'JULY 2025'!Y31</f>
        <v>100.84954782132091</v>
      </c>
      <c r="F97" s="105">
        <f>'JULY 2025'!AE31</f>
        <v>65.771444231296243</v>
      </c>
      <c r="G97" s="86">
        <f t="shared" si="6"/>
        <v>289.39435461770347</v>
      </c>
      <c r="H97" s="169" t="s">
        <v>68</v>
      </c>
      <c r="I97" s="170"/>
      <c r="J97" s="170"/>
      <c r="K97" s="170"/>
      <c r="L97" s="170"/>
      <c r="M97" s="170"/>
      <c r="N97" s="170"/>
      <c r="O97" s="171"/>
    </row>
    <row r="98" spans="1:15" ht="15" thickBot="1">
      <c r="A98" s="108">
        <v>45855</v>
      </c>
      <c r="B98" s="105">
        <f>'JULY 2025'!G32</f>
        <v>43.847629487530831</v>
      </c>
      <c r="C98" s="105">
        <f>'JULY 2025'!M32</f>
        <v>61.386681282543165</v>
      </c>
      <c r="D98" s="105">
        <f>'JULY 2025'!S32</f>
        <v>61.386681282543165</v>
      </c>
      <c r="E98" s="105">
        <f>'JULY 2025'!Y32</f>
        <v>74.540970128802414</v>
      </c>
      <c r="F98" s="105">
        <f>'JULY 2025'!AE32</f>
        <v>35.078103590024661</v>
      </c>
      <c r="G98" s="86">
        <f t="shared" si="6"/>
        <v>276.24006577144428</v>
      </c>
      <c r="H98" s="169" t="s">
        <v>69</v>
      </c>
      <c r="I98" s="170"/>
      <c r="J98" s="170"/>
      <c r="K98" s="170"/>
      <c r="L98" s="170"/>
      <c r="M98" s="170"/>
      <c r="N98" s="170"/>
      <c r="O98" s="171"/>
    </row>
    <row r="99" spans="1:15" ht="15" thickBot="1">
      <c r="A99" s="108">
        <v>45856</v>
      </c>
      <c r="B99" s="105">
        <f>'JULY 2025'!G33</f>
        <v>0</v>
      </c>
      <c r="C99" s="105">
        <f>'JULY 2025'!M33</f>
        <v>74.540970128802414</v>
      </c>
      <c r="D99" s="105">
        <f>'JULY 2025'!S33</f>
        <v>0</v>
      </c>
      <c r="E99" s="105">
        <f>'JULY 2025'!Y33</f>
        <v>65.771444231296243</v>
      </c>
      <c r="F99" s="105">
        <f>'JULY 2025'!AE33</f>
        <v>52.617155385036995</v>
      </c>
      <c r="G99" s="86">
        <f t="shared" si="6"/>
        <v>192.92956974513567</v>
      </c>
      <c r="H99" s="169" t="s">
        <v>70</v>
      </c>
      <c r="I99" s="170"/>
      <c r="J99" s="170"/>
      <c r="K99" s="170"/>
      <c r="L99" s="170"/>
      <c r="M99" s="170"/>
      <c r="N99" s="170"/>
      <c r="O99" s="171"/>
    </row>
    <row r="100" spans="1:15" ht="15" thickBot="1">
      <c r="A100" s="108">
        <v>45857</v>
      </c>
      <c r="B100" s="105">
        <f>'JULY 2025'!G34</f>
        <v>127.15812551383941</v>
      </c>
      <c r="C100" s="105">
        <f>'JULY 2025'!M34</f>
        <v>74.540970128802414</v>
      </c>
      <c r="D100" s="105">
        <f>'JULY 2025'!S34</f>
        <v>0</v>
      </c>
      <c r="E100" s="105">
        <f>'JULY 2025'!Y34</f>
        <v>100.84954782132091</v>
      </c>
      <c r="F100" s="105">
        <f>'JULY 2025'!AE34</f>
        <v>0</v>
      </c>
      <c r="G100" s="86">
        <f t="shared" si="6"/>
        <v>302.54864346396272</v>
      </c>
      <c r="H100" s="169" t="s">
        <v>71</v>
      </c>
      <c r="I100" s="170"/>
      <c r="J100" s="170"/>
      <c r="K100" s="170"/>
      <c r="L100" s="170"/>
      <c r="M100" s="170"/>
      <c r="N100" s="170"/>
      <c r="O100" s="171"/>
    </row>
    <row r="101" spans="1:15" ht="15" thickBot="1">
      <c r="A101" s="108">
        <v>45858</v>
      </c>
      <c r="B101" s="105">
        <f>'JULY 2025'!G35</f>
        <v>0</v>
      </c>
      <c r="C101" s="105">
        <f>'JULY 2025'!M35</f>
        <v>0</v>
      </c>
      <c r="D101" s="105">
        <f>'JULY 2025'!S35</f>
        <v>0</v>
      </c>
      <c r="E101" s="105">
        <f>'JULY 2025'!Y35</f>
        <v>0</v>
      </c>
      <c r="F101" s="105">
        <f>'JULY 2025'!AE35</f>
        <v>0</v>
      </c>
      <c r="G101" s="86">
        <f t="shared" si="6"/>
        <v>0</v>
      </c>
      <c r="H101" s="169" t="s">
        <v>72</v>
      </c>
      <c r="I101" s="170"/>
      <c r="J101" s="170"/>
      <c r="K101" s="170"/>
      <c r="L101" s="170"/>
      <c r="M101" s="170"/>
      <c r="N101" s="170"/>
      <c r="O101" s="171"/>
    </row>
    <row r="102" spans="1:15" ht="15" thickBot="1">
      <c r="A102" s="108">
        <v>45859</v>
      </c>
      <c r="B102" s="105">
        <f>'JULY 2025'!G36</f>
        <v>0</v>
      </c>
      <c r="C102" s="105">
        <f>'JULY 2025'!M36</f>
        <v>0</v>
      </c>
      <c r="D102" s="105">
        <f>'JULY 2025'!S36</f>
        <v>26.308577692518497</v>
      </c>
      <c r="E102" s="105">
        <f>'JULY 2025'!Y36</f>
        <v>127.15812551383941</v>
      </c>
      <c r="F102" s="105">
        <f>'JULY 2025'!AE36</f>
        <v>52.617155385036995</v>
      </c>
      <c r="G102" s="86">
        <f t="shared" si="6"/>
        <v>206.08385859139491</v>
      </c>
      <c r="H102" s="172" t="s">
        <v>73</v>
      </c>
      <c r="I102" s="170"/>
      <c r="J102" s="170"/>
      <c r="K102" s="170"/>
      <c r="L102" s="170"/>
      <c r="M102" s="170"/>
      <c r="N102" s="170"/>
      <c r="O102" s="171"/>
    </row>
    <row r="103" spans="1:15" ht="15" thickBot="1">
      <c r="A103" s="108">
        <v>45860</v>
      </c>
      <c r="B103" s="105">
        <f>'JULY 2025'!G37</f>
        <v>0</v>
      </c>
      <c r="C103" s="105">
        <f>'JULY 2025'!M37</f>
        <v>0</v>
      </c>
      <c r="D103" s="105">
        <f>'JULY 2025'!S37</f>
        <v>0</v>
      </c>
      <c r="E103" s="105">
        <f>'JULY 2025'!Y37</f>
        <v>17.53905179501233</v>
      </c>
      <c r="F103" s="105">
        <f>'JULY 2025'!AE37</f>
        <v>17.53905179501233</v>
      </c>
      <c r="G103" s="86">
        <f t="shared" si="6"/>
        <v>35.078103590024661</v>
      </c>
      <c r="H103" s="169" t="s">
        <v>74</v>
      </c>
      <c r="I103" s="170"/>
      <c r="J103" s="170"/>
      <c r="K103" s="170"/>
      <c r="L103" s="170"/>
      <c r="M103" s="170"/>
      <c r="N103" s="170"/>
      <c r="O103" s="171"/>
    </row>
    <row r="104" spans="1:15" ht="15" thickBot="1">
      <c r="A104" s="108">
        <v>45861</v>
      </c>
      <c r="B104" s="105">
        <f>'JULY 2025'!G38</f>
        <v>26.308577692518497</v>
      </c>
      <c r="C104" s="105">
        <f>'JULY 2025'!M38</f>
        <v>61.386681282543165</v>
      </c>
      <c r="D104" s="105">
        <f>'JULY 2025'!S38</f>
        <v>0</v>
      </c>
      <c r="E104" s="105">
        <f>'JULY 2025'!Y38</f>
        <v>74.540970128802414</v>
      </c>
      <c r="F104" s="105">
        <f>'JULY 2025'!AE38</f>
        <v>74.540970128802414</v>
      </c>
      <c r="G104" s="86">
        <f t="shared" si="6"/>
        <v>236.77719923266648</v>
      </c>
      <c r="H104" s="169" t="s">
        <v>75</v>
      </c>
      <c r="I104" s="170"/>
      <c r="J104" s="170"/>
      <c r="K104" s="170"/>
      <c r="L104" s="170"/>
      <c r="M104" s="170"/>
      <c r="N104" s="170"/>
      <c r="O104" s="171"/>
    </row>
    <row r="105" spans="1:15" ht="15" thickBot="1">
      <c r="A105" s="108">
        <v>45862</v>
      </c>
      <c r="B105" s="105">
        <f>'JULY 2025'!G39</f>
        <v>83.310496026308584</v>
      </c>
      <c r="C105" s="105">
        <f>'JULY 2025'!M39</f>
        <v>61.386681282543165</v>
      </c>
      <c r="D105" s="105">
        <f>'JULY 2025'!S39</f>
        <v>26.308577692518497</v>
      </c>
      <c r="E105" s="105">
        <f>'JULY 2025'!Y39</f>
        <v>78.925733077555492</v>
      </c>
      <c r="F105" s="105">
        <f>'JULY 2025'!AE39</f>
        <v>74.540970128802414</v>
      </c>
      <c r="G105" s="86">
        <f t="shared" si="6"/>
        <v>324.47245820772815</v>
      </c>
      <c r="H105" s="169" t="s">
        <v>76</v>
      </c>
      <c r="I105" s="170"/>
      <c r="J105" s="170"/>
      <c r="K105" s="170"/>
      <c r="L105" s="170"/>
      <c r="M105" s="170"/>
      <c r="N105" s="170"/>
      <c r="O105" s="171"/>
    </row>
    <row r="106" spans="1:15" ht="15" thickBot="1">
      <c r="A106" s="108">
        <v>45863</v>
      </c>
      <c r="B106" s="105">
        <f>'JULY 2025'!G40</f>
        <v>61.386681282543165</v>
      </c>
      <c r="C106" s="105">
        <f>'JULY 2025'!M40</f>
        <v>114.00383666758016</v>
      </c>
      <c r="D106" s="105">
        <f>'JULY 2025'!S40</f>
        <v>43.847629487530831</v>
      </c>
      <c r="E106" s="105">
        <f>'JULY 2025'!Y40</f>
        <v>100.84954782132091</v>
      </c>
      <c r="F106" s="105">
        <f>'JULY 2025'!AE40</f>
        <v>92.080021923814741</v>
      </c>
      <c r="G106" s="86">
        <f t="shared" si="6"/>
        <v>412.16771718278983</v>
      </c>
      <c r="H106" s="169" t="s">
        <v>76</v>
      </c>
      <c r="I106" s="170"/>
      <c r="J106" s="170"/>
      <c r="K106" s="170"/>
      <c r="L106" s="170"/>
      <c r="M106" s="170"/>
      <c r="N106" s="170"/>
      <c r="O106" s="171"/>
    </row>
    <row r="107" spans="1:15" ht="15" thickBot="1">
      <c r="A107" s="108">
        <v>45864</v>
      </c>
      <c r="B107" s="105">
        <f>'JULY 2025'!G41</f>
        <v>57.00191833379008</v>
      </c>
      <c r="C107" s="105">
        <f>'JULY 2025'!M41</f>
        <v>61.386681282543165</v>
      </c>
      <c r="D107" s="105">
        <f>'JULY 2025'!S41</f>
        <v>43.847629487530831</v>
      </c>
      <c r="E107" s="105">
        <f>'JULY 2025'!Y41</f>
        <v>61.386681282543165</v>
      </c>
      <c r="F107" s="105">
        <f>'JULY 2025'!AE41</f>
        <v>87.695258975061662</v>
      </c>
      <c r="G107" s="86">
        <f t="shared" si="6"/>
        <v>311.3181693614689</v>
      </c>
      <c r="H107" s="169" t="s">
        <v>76</v>
      </c>
      <c r="I107" s="170"/>
      <c r="J107" s="170"/>
      <c r="K107" s="170"/>
      <c r="L107" s="170"/>
      <c r="M107" s="170"/>
      <c r="N107" s="170"/>
      <c r="O107" s="171"/>
    </row>
    <row r="108" spans="1:15" ht="15" thickBot="1">
      <c r="A108" s="108">
        <v>45865</v>
      </c>
      <c r="B108" s="105">
        <f>'JULY 2025'!G42</f>
        <v>0</v>
      </c>
      <c r="C108" s="105">
        <f>'JULY 2025'!M42</f>
        <v>0</v>
      </c>
      <c r="D108" s="105">
        <f>'JULY 2025'!S42</f>
        <v>0</v>
      </c>
      <c r="E108" s="105">
        <f>'JULY 2025'!Y42</f>
        <v>0</v>
      </c>
      <c r="F108" s="105">
        <f>'JULY 2025'!AE42</f>
        <v>0</v>
      </c>
      <c r="G108" s="86">
        <f t="shared" si="6"/>
        <v>0</v>
      </c>
      <c r="H108" s="169" t="s">
        <v>77</v>
      </c>
      <c r="I108" s="170"/>
      <c r="J108" s="170"/>
      <c r="K108" s="170"/>
      <c r="L108" s="170"/>
      <c r="M108" s="170"/>
      <c r="N108" s="170"/>
      <c r="O108" s="171"/>
    </row>
    <row r="109" spans="1:15" ht="15" thickBot="1">
      <c r="A109" s="108">
        <v>45866</v>
      </c>
      <c r="B109" s="105">
        <f>'JULY 2025'!G43</f>
        <v>0</v>
      </c>
      <c r="C109" s="105">
        <f>'JULY 2025'!M43</f>
        <v>0</v>
      </c>
      <c r="D109" s="105">
        <f>'JULY 2025'!S43</f>
        <v>43.847629487530831</v>
      </c>
      <c r="E109" s="105">
        <f>'JULY 2025'!Y43</f>
        <v>17.53905179501233</v>
      </c>
      <c r="F109" s="105">
        <f>'JULY 2025'!AE43</f>
        <v>17.53905179501233</v>
      </c>
      <c r="G109" s="86">
        <f t="shared" si="6"/>
        <v>78.925733077555492</v>
      </c>
      <c r="H109" s="169" t="s">
        <v>78</v>
      </c>
      <c r="I109" s="170"/>
      <c r="J109" s="170"/>
      <c r="K109" s="170"/>
      <c r="L109" s="170"/>
      <c r="M109" s="170"/>
      <c r="N109" s="170"/>
      <c r="O109" s="171"/>
    </row>
    <row r="110" spans="1:15" ht="15" thickBot="1">
      <c r="A110" s="108">
        <v>45867</v>
      </c>
      <c r="B110" s="105">
        <f>'JULY 2025'!G44</f>
        <v>83.310496026308584</v>
      </c>
      <c r="C110" s="105">
        <f>'JULY 2025'!M44</f>
        <v>74.540970128802414</v>
      </c>
      <c r="D110" s="105">
        <f>'JULY 2025'!S44</f>
        <v>48.232392436283916</v>
      </c>
      <c r="E110" s="105">
        <f>'JULY 2025'!Y44</f>
        <v>70.156207180049321</v>
      </c>
      <c r="F110" s="105">
        <f>'JULY 2025'!AE44</f>
        <v>57.00191833379008</v>
      </c>
      <c r="G110" s="86">
        <f t="shared" si="6"/>
        <v>333.24198410523428</v>
      </c>
      <c r="H110" s="169" t="s">
        <v>79</v>
      </c>
      <c r="I110" s="170"/>
      <c r="J110" s="170"/>
      <c r="K110" s="170"/>
      <c r="L110" s="170"/>
      <c r="M110" s="170"/>
      <c r="N110" s="170"/>
      <c r="O110" s="171"/>
    </row>
    <row r="111" spans="1:15" ht="15" thickBot="1">
      <c r="A111" s="108">
        <v>45868</v>
      </c>
      <c r="B111" s="105">
        <f>'JULY 2025'!G45</f>
        <v>26.308577692518497</v>
      </c>
      <c r="C111" s="105">
        <f>'JULY 2025'!M45</f>
        <v>0</v>
      </c>
      <c r="D111" s="105">
        <f>'JULY 2025'!S45</f>
        <v>43.847629487530831</v>
      </c>
      <c r="E111" s="105">
        <f>'JULY 2025'!Y45</f>
        <v>35.078103590024661</v>
      </c>
      <c r="F111" s="105">
        <f>'JULY 2025'!AE45</f>
        <v>92.080021923814741</v>
      </c>
      <c r="G111" s="86">
        <f t="shared" si="6"/>
        <v>197.31433269388873</v>
      </c>
      <c r="H111" s="169" t="s">
        <v>80</v>
      </c>
      <c r="I111" s="170"/>
      <c r="J111" s="170"/>
      <c r="K111" s="170"/>
      <c r="L111" s="170"/>
      <c r="M111" s="170"/>
      <c r="N111" s="170"/>
      <c r="O111" s="171"/>
    </row>
    <row r="112" spans="1:15" ht="15" thickBot="1">
      <c r="A112" s="167">
        <v>45869</v>
      </c>
      <c r="B112" s="106">
        <f>'JULY 2025'!G46</f>
        <v>0</v>
      </c>
      <c r="C112" s="106">
        <f>'JULY 2025'!M46</f>
        <v>0</v>
      </c>
      <c r="D112" s="106">
        <f>'JULY 2025'!S46</f>
        <v>0</v>
      </c>
      <c r="E112" s="106">
        <f>'JULY 2025'!Y46</f>
        <v>35.078103590024661</v>
      </c>
      <c r="F112" s="106">
        <f>'JULY 2025'!AE46</f>
        <v>0</v>
      </c>
      <c r="G112" s="87">
        <f t="shared" si="6"/>
        <v>35.078103590024661</v>
      </c>
      <c r="H112" s="169" t="s">
        <v>81</v>
      </c>
      <c r="I112" s="170"/>
      <c r="J112" s="170"/>
      <c r="K112" s="170"/>
      <c r="L112" s="170"/>
      <c r="M112" s="170"/>
      <c r="N112" s="170"/>
      <c r="O112" s="171"/>
    </row>
    <row r="113" spans="1:15">
      <c r="B113" s="163"/>
      <c r="C113" s="163"/>
      <c r="D113" s="163"/>
      <c r="E113" s="163"/>
      <c r="F113" s="163"/>
      <c r="G113" s="164"/>
      <c r="H113" s="165"/>
      <c r="I113" s="165"/>
      <c r="J113" s="165"/>
      <c r="K113" s="165"/>
      <c r="L113" s="165"/>
      <c r="M113" s="165"/>
      <c r="N113" s="165"/>
      <c r="O113" s="165"/>
    </row>
    <row r="114" spans="1:15" ht="15" thickBot="1">
      <c r="B114" s="163"/>
      <c r="C114" s="163"/>
      <c r="D114" s="163"/>
      <c r="E114" s="163"/>
      <c r="F114" s="163"/>
      <c r="G114" s="164"/>
      <c r="H114" s="165"/>
      <c r="I114" s="165"/>
      <c r="J114" s="165"/>
      <c r="K114" s="165"/>
      <c r="L114" s="165"/>
      <c r="M114" s="165"/>
      <c r="N114" s="165"/>
      <c r="O114" s="165"/>
    </row>
    <row r="115" spans="1:15" ht="15" customHeight="1" thickBot="1">
      <c r="A115" s="25" t="s">
        <v>82</v>
      </c>
      <c r="B115" s="177" t="s">
        <v>2</v>
      </c>
      <c r="C115" s="178"/>
      <c r="D115" s="178"/>
      <c r="E115" s="178"/>
      <c r="F115" s="179" t="s">
        <v>3</v>
      </c>
      <c r="G115" s="179" t="s">
        <v>4</v>
      </c>
      <c r="H115" s="181" t="s">
        <v>5</v>
      </c>
      <c r="I115" s="181" t="s">
        <v>6</v>
      </c>
    </row>
    <row r="116" spans="1:15" ht="15" thickBot="1">
      <c r="A116" s="168" t="s">
        <v>7</v>
      </c>
      <c r="B116" s="22" t="s">
        <v>8</v>
      </c>
      <c r="C116" s="23" t="s">
        <v>9</v>
      </c>
      <c r="D116" s="23" t="s">
        <v>10</v>
      </c>
      <c r="E116" s="24" t="s">
        <v>11</v>
      </c>
      <c r="F116" s="180"/>
      <c r="G116" s="180"/>
      <c r="H116" s="182"/>
      <c r="I116" s="182"/>
    </row>
    <row r="117" spans="1:15">
      <c r="A117" s="27" t="s">
        <v>12</v>
      </c>
      <c r="B117" s="1">
        <v>3</v>
      </c>
      <c r="C117" s="2">
        <v>1</v>
      </c>
      <c r="D117" s="2">
        <v>1</v>
      </c>
      <c r="E117" s="3">
        <v>1</v>
      </c>
      <c r="F117" s="4">
        <f>(B117*4)+(C117*6)+(D117*4)+(E117*3)</f>
        <v>25</v>
      </c>
      <c r="G117" s="5">
        <f>($F117*8*26)/1.8245</f>
        <v>2850.0959166895041</v>
      </c>
      <c r="H117" s="19">
        <f>G117/4</f>
        <v>712.52397917237602</v>
      </c>
      <c r="I117" s="53">
        <f>($F117*8)/1.8245</f>
        <v>109.61907371882708</v>
      </c>
    </row>
    <row r="118" spans="1:15">
      <c r="A118" s="28" t="s">
        <v>13</v>
      </c>
      <c r="B118" s="6">
        <v>2</v>
      </c>
      <c r="C118" s="7">
        <v>1</v>
      </c>
      <c r="D118" s="8">
        <v>1</v>
      </c>
      <c r="E118" s="9">
        <v>1</v>
      </c>
      <c r="F118" s="4">
        <f>(B118*4)+(C118*6)+(D118*4)+(E118*3)</f>
        <v>21</v>
      </c>
      <c r="G118" s="5">
        <f>($F118*8*26)/1.8245</f>
        <v>2394.0805700191831</v>
      </c>
      <c r="H118" s="20">
        <f>G118/4</f>
        <v>598.52014250479579</v>
      </c>
      <c r="I118" s="53">
        <f>($F118*8)/1.8245</f>
        <v>92.080021923814741</v>
      </c>
    </row>
    <row r="119" spans="1:15">
      <c r="A119" s="28" t="s">
        <v>14</v>
      </c>
      <c r="B119" s="10">
        <v>2</v>
      </c>
      <c r="C119" s="8">
        <v>1</v>
      </c>
      <c r="D119" s="8">
        <v>1</v>
      </c>
      <c r="E119" s="11">
        <v>1</v>
      </c>
      <c r="F119" s="4">
        <f>(B119*4)+(C119*6)+(D119*4)+(E119*3)</f>
        <v>21</v>
      </c>
      <c r="G119" s="5">
        <f>($F119*8*26)/1.8245</f>
        <v>2394.0805700191831</v>
      </c>
      <c r="H119" s="20">
        <f>G119/4</f>
        <v>598.52014250479579</v>
      </c>
      <c r="I119" s="53">
        <f>($F119*8)/1.8245</f>
        <v>92.080021923814741</v>
      </c>
    </row>
    <row r="120" spans="1:15">
      <c r="A120" s="28" t="s">
        <v>15</v>
      </c>
      <c r="B120" s="6">
        <v>2</v>
      </c>
      <c r="C120" s="12">
        <v>1</v>
      </c>
      <c r="D120" s="8">
        <v>1</v>
      </c>
      <c r="E120" s="11">
        <v>1</v>
      </c>
      <c r="F120" s="4">
        <f>(B120*4)+(C120*6)+(D120*4)+(E120*3)</f>
        <v>21</v>
      </c>
      <c r="G120" s="5">
        <f>($F120*8*26)/1.8245</f>
        <v>2394.0805700191831</v>
      </c>
      <c r="H120" s="20">
        <f>G120/4</f>
        <v>598.52014250479579</v>
      </c>
      <c r="I120" s="53">
        <f>($F120*8)/1.8245</f>
        <v>92.080021923814741</v>
      </c>
    </row>
    <row r="121" spans="1:15">
      <c r="A121" s="29" t="s">
        <v>16</v>
      </c>
      <c r="B121" s="13">
        <v>2</v>
      </c>
      <c r="C121" s="14">
        <v>1</v>
      </c>
      <c r="D121" s="14"/>
      <c r="E121" s="15">
        <v>1</v>
      </c>
      <c r="F121" s="4">
        <f>(B121*4)+(C121*6)+(D121*4)+(E121*3)</f>
        <v>17</v>
      </c>
      <c r="G121" s="5">
        <f>($F121*8*26)/1.8245</f>
        <v>1938.0652233488627</v>
      </c>
      <c r="H121" s="21">
        <f>G121/4</f>
        <v>484.51630583721567</v>
      </c>
      <c r="I121" s="53">
        <f>($F121*8)/1.8245</f>
        <v>74.540970128802414</v>
      </c>
    </row>
    <row r="122" spans="1:15">
      <c r="A122" s="30" t="s">
        <v>17</v>
      </c>
      <c r="B122" s="16">
        <f>SUM(B117:B121)</f>
        <v>11</v>
      </c>
      <c r="C122" s="16">
        <f>SUM(C117:C121)</f>
        <v>5</v>
      </c>
      <c r="D122" s="16">
        <f>SUM(D117:D121)</f>
        <v>4</v>
      </c>
      <c r="E122" s="17">
        <f>SUM(E117:E121)</f>
        <v>5</v>
      </c>
      <c r="F122" s="51">
        <f>SUM(F117:F121)</f>
        <v>105</v>
      </c>
      <c r="G122" s="18">
        <f>(F122*8*26)/1.8245</f>
        <v>11970.402850095918</v>
      </c>
      <c r="H122" s="18">
        <f>SUM(H117:H121)</f>
        <v>2992.6007125239794</v>
      </c>
      <c r="I122" s="18">
        <f>SUM(I117:I121)</f>
        <v>460.4001096190737</v>
      </c>
    </row>
    <row r="125" spans="1:15">
      <c r="B125" s="173" t="s">
        <v>18</v>
      </c>
      <c r="C125" s="173"/>
      <c r="D125" s="173"/>
      <c r="E125" s="173"/>
      <c r="F125" s="173"/>
      <c r="G125" s="173"/>
    </row>
    <row r="126" spans="1:15">
      <c r="A126" s="107" t="s">
        <v>19</v>
      </c>
      <c r="B126" s="47" t="s">
        <v>12</v>
      </c>
      <c r="C126" s="48" t="s">
        <v>20</v>
      </c>
      <c r="D126" s="48" t="s">
        <v>14</v>
      </c>
      <c r="E126" s="48" t="s">
        <v>21</v>
      </c>
      <c r="F126" s="49" t="s">
        <v>16</v>
      </c>
      <c r="G126" s="46" t="s">
        <v>17</v>
      </c>
      <c r="H126" s="174" t="s">
        <v>22</v>
      </c>
      <c r="I126" s="175"/>
      <c r="J126" s="175"/>
      <c r="K126" s="175"/>
      <c r="L126" s="175"/>
      <c r="M126" s="175"/>
      <c r="N126" s="175"/>
      <c r="O126" s="176"/>
    </row>
    <row r="127" spans="1:15">
      <c r="A127" s="108">
        <v>45870</v>
      </c>
      <c r="B127" s="105">
        <f>'AUG 2025'!G16</f>
        <v>0</v>
      </c>
      <c r="C127" s="105">
        <f>'AUG 2025'!M16</f>
        <v>0</v>
      </c>
      <c r="D127" s="105">
        <f>'AUG 2025'!S16</f>
        <v>74.540970128802414</v>
      </c>
      <c r="E127" s="105">
        <f>'AUG 2025'!Y16</f>
        <v>74.540970128802414</v>
      </c>
      <c r="F127" s="105">
        <f>'AUG 2025'!AE16</f>
        <v>61.386681282543165</v>
      </c>
      <c r="G127" s="86">
        <f>SUM(B127:F127)</f>
        <v>210.46862154014798</v>
      </c>
      <c r="H127" s="169" t="s">
        <v>83</v>
      </c>
      <c r="I127" s="170"/>
      <c r="J127" s="170"/>
      <c r="K127" s="170"/>
      <c r="L127" s="170"/>
      <c r="M127" s="170"/>
      <c r="N127" s="170"/>
      <c r="O127" s="171"/>
    </row>
    <row r="128" spans="1:15">
      <c r="A128" s="108">
        <v>45871</v>
      </c>
      <c r="B128" s="105">
        <f>'AUG 2025'!G17</f>
        <v>74.540970128802414</v>
      </c>
      <c r="C128" s="105">
        <f>'AUG 2025'!M17</f>
        <v>0</v>
      </c>
      <c r="D128" s="105">
        <f>'AUG 2025'!S17</f>
        <v>0</v>
      </c>
      <c r="E128" s="105">
        <f>'AUG 2025'!Y17</f>
        <v>100.84954782132091</v>
      </c>
      <c r="F128" s="105">
        <f>'AUG 2025'!AE17</f>
        <v>52.617155385036995</v>
      </c>
      <c r="G128" s="86">
        <f t="shared" ref="G128:G157" si="7">SUM(B128:F128)</f>
        <v>228.00767333516032</v>
      </c>
      <c r="H128" s="169" t="s">
        <v>84</v>
      </c>
      <c r="I128" s="170"/>
      <c r="J128" s="170"/>
      <c r="K128" s="170"/>
      <c r="L128" s="170"/>
      <c r="M128" s="170"/>
      <c r="N128" s="170"/>
      <c r="O128" s="171"/>
    </row>
    <row r="129" spans="1:15">
      <c r="A129" s="108">
        <v>45872</v>
      </c>
      <c r="B129" s="105">
        <f>'AUG 2025'!G18</f>
        <v>0</v>
      </c>
      <c r="C129" s="105">
        <f>'AUG 2025'!M18</f>
        <v>0</v>
      </c>
      <c r="D129" s="105">
        <f>'AUG 2025'!S18</f>
        <v>0</v>
      </c>
      <c r="E129" s="105">
        <f>'AUG 2025'!Y18</f>
        <v>0</v>
      </c>
      <c r="F129" s="105">
        <f>'AUG 2025'!AE18</f>
        <v>74.540970128802414</v>
      </c>
      <c r="G129" s="86">
        <f t="shared" si="7"/>
        <v>74.540970128802414</v>
      </c>
      <c r="H129" s="169" t="s">
        <v>65</v>
      </c>
      <c r="I129" s="170"/>
      <c r="J129" s="170"/>
      <c r="K129" s="170"/>
      <c r="L129" s="170"/>
      <c r="M129" s="170"/>
      <c r="N129" s="170"/>
      <c r="O129" s="171"/>
    </row>
    <row r="130" spans="1:15" ht="15" thickBot="1">
      <c r="A130" s="108">
        <v>45873</v>
      </c>
      <c r="B130" s="105">
        <f>'AUG 2025'!G19</f>
        <v>0</v>
      </c>
      <c r="C130" s="105">
        <f>'AUG 2025'!M19</f>
        <v>0</v>
      </c>
      <c r="D130" s="105">
        <f>'AUG 2025'!S19</f>
        <v>57.00191833379008</v>
      </c>
      <c r="E130" s="105">
        <f>'AUG 2025'!Y19</f>
        <v>122.77336256508633</v>
      </c>
      <c r="F130" s="105">
        <f>'AUG 2025'!AE19</f>
        <v>26.308577692518497</v>
      </c>
      <c r="G130" s="86">
        <f t="shared" si="7"/>
        <v>206.08385859139491</v>
      </c>
      <c r="H130" s="169" t="s">
        <v>85</v>
      </c>
      <c r="I130" s="170"/>
      <c r="J130" s="170"/>
      <c r="K130" s="170"/>
      <c r="L130" s="170"/>
      <c r="M130" s="170"/>
      <c r="N130" s="170"/>
      <c r="O130" s="171"/>
    </row>
    <row r="131" spans="1:15" ht="15" thickBot="1">
      <c r="A131" s="108">
        <v>45874</v>
      </c>
      <c r="B131" s="105">
        <f>'AUG 2025'!G20</f>
        <v>0</v>
      </c>
      <c r="C131" s="105">
        <f>'AUG 2025'!M20</f>
        <v>35.078103590024661</v>
      </c>
      <c r="D131" s="105">
        <f>'AUG 2025'!S20</f>
        <v>17.53905179501233</v>
      </c>
      <c r="E131" s="105">
        <f>'AUG 2025'!Y20</f>
        <v>74.540970128802414</v>
      </c>
      <c r="F131" s="105">
        <f>'AUG 2025'!AE20</f>
        <v>74.540970128802414</v>
      </c>
      <c r="G131" s="86">
        <f t="shared" si="7"/>
        <v>201.69909564264182</v>
      </c>
      <c r="H131" s="169" t="s">
        <v>86</v>
      </c>
      <c r="I131" s="170"/>
      <c r="J131" s="170"/>
      <c r="K131" s="170"/>
      <c r="L131" s="170"/>
      <c r="M131" s="170"/>
      <c r="N131" s="170"/>
      <c r="O131" s="171"/>
    </row>
    <row r="132" spans="1:15" ht="15" thickBot="1">
      <c r="A132" s="108">
        <v>45875</v>
      </c>
      <c r="B132" s="105">
        <f>'AUG 2025'!G21</f>
        <v>0</v>
      </c>
      <c r="C132" s="105">
        <f>'AUG 2025'!M21</f>
        <v>35.078103590024661</v>
      </c>
      <c r="D132" s="105">
        <f>'AUG 2025'!S21</f>
        <v>35.078103590024661</v>
      </c>
      <c r="E132" s="105">
        <f>'AUG 2025'!Y21</f>
        <v>74.540970128802414</v>
      </c>
      <c r="F132" s="105">
        <f>'AUG 2025'!AE21</f>
        <v>87.695258975061662</v>
      </c>
      <c r="G132" s="86">
        <f t="shared" si="7"/>
        <v>232.39243628391341</v>
      </c>
      <c r="H132" s="169" t="s">
        <v>86</v>
      </c>
      <c r="I132" s="170"/>
      <c r="J132" s="170"/>
      <c r="K132" s="170"/>
      <c r="L132" s="170"/>
      <c r="M132" s="170"/>
      <c r="N132" s="170"/>
      <c r="O132" s="171"/>
    </row>
    <row r="133" spans="1:15">
      <c r="A133" s="108">
        <v>45876</v>
      </c>
      <c r="B133" s="105">
        <f>'AUG 2025'!G22</f>
        <v>61.386681282543165</v>
      </c>
      <c r="C133" s="105">
        <f>'AUG 2025'!M22</f>
        <v>35.078103590024661</v>
      </c>
      <c r="D133" s="105">
        <f>'AUG 2025'!S22</f>
        <v>74.540970128802414</v>
      </c>
      <c r="E133" s="105">
        <f>'AUG 2025'!Y22</f>
        <v>74.540970128802414</v>
      </c>
      <c r="F133" s="105">
        <f>'AUG 2025'!AE22</f>
        <v>0</v>
      </c>
      <c r="G133" s="86">
        <f t="shared" si="7"/>
        <v>245.54672513017266</v>
      </c>
      <c r="H133" s="169" t="s">
        <v>87</v>
      </c>
      <c r="I133" s="170"/>
      <c r="J133" s="170"/>
      <c r="K133" s="170"/>
      <c r="L133" s="170"/>
      <c r="M133" s="170"/>
      <c r="N133" s="170"/>
      <c r="O133" s="171"/>
    </row>
    <row r="134" spans="1:15">
      <c r="A134" s="108">
        <v>45877</v>
      </c>
      <c r="B134" s="105">
        <f>'AUG 2025'!G23</f>
        <v>0</v>
      </c>
      <c r="C134" s="105">
        <f>'AUG 2025'!M23</f>
        <v>35.078103590024661</v>
      </c>
      <c r="D134" s="105">
        <f>'AUG 2025'!S23</f>
        <v>78.925733077555492</v>
      </c>
      <c r="E134" s="105">
        <f>'AUG 2025'!Y23</f>
        <v>43.847629487530831</v>
      </c>
      <c r="F134" s="105">
        <f>'AUG 2025'!AE23</f>
        <v>61.386681282543165</v>
      </c>
      <c r="G134" s="86">
        <f t="shared" si="7"/>
        <v>219.23814743765416</v>
      </c>
      <c r="H134" s="169" t="s">
        <v>88</v>
      </c>
      <c r="I134" s="170"/>
      <c r="J134" s="170"/>
      <c r="K134" s="170"/>
      <c r="L134" s="170"/>
      <c r="M134" s="170"/>
      <c r="N134" s="170"/>
      <c r="O134" s="171"/>
    </row>
    <row r="135" spans="1:15">
      <c r="A135" s="108">
        <v>45878</v>
      </c>
      <c r="B135" s="105">
        <f>'AUG 2025'!G24</f>
        <v>162.23622910386408</v>
      </c>
      <c r="C135" s="105">
        <f>'AUG 2025'!M24</f>
        <v>0</v>
      </c>
      <c r="D135" s="105">
        <f>'AUG 2025'!S24</f>
        <v>74.540970128802414</v>
      </c>
      <c r="E135" s="105">
        <f>'AUG 2025'!Y24</f>
        <v>57.00191833379008</v>
      </c>
      <c r="F135" s="105">
        <f>'AUG 2025'!AE24</f>
        <v>87.695258975061662</v>
      </c>
      <c r="G135" s="86">
        <f t="shared" si="7"/>
        <v>381.47437654151821</v>
      </c>
      <c r="H135" s="169" t="s">
        <v>89</v>
      </c>
      <c r="I135" s="170"/>
      <c r="J135" s="170"/>
      <c r="K135" s="170"/>
      <c r="L135" s="170"/>
      <c r="M135" s="170"/>
      <c r="N135" s="170"/>
      <c r="O135" s="171"/>
    </row>
    <row r="136" spans="1:15">
      <c r="A136" s="108">
        <v>45879</v>
      </c>
      <c r="B136" s="105">
        <f>'AUG 2025'!G25</f>
        <v>0</v>
      </c>
      <c r="C136" s="105">
        <f>'AUG 2025'!M25</f>
        <v>0</v>
      </c>
      <c r="D136" s="105">
        <f>'AUG 2025'!S25</f>
        <v>0</v>
      </c>
      <c r="E136" s="105">
        <f>'AUG 2025'!Y25</f>
        <v>0</v>
      </c>
      <c r="F136" s="105">
        <f>'AUG 2025'!AE25</f>
        <v>0</v>
      </c>
      <c r="G136" s="86">
        <f t="shared" si="7"/>
        <v>0</v>
      </c>
      <c r="H136" s="31" t="s">
        <v>90</v>
      </c>
    </row>
    <row r="137" spans="1:15">
      <c r="A137" s="108">
        <v>45880</v>
      </c>
      <c r="B137" s="105">
        <f>'AUG 2025'!G26</f>
        <v>17.53905179501233</v>
      </c>
      <c r="C137" s="105">
        <f>'AUG 2025'!M26</f>
        <v>0</v>
      </c>
      <c r="D137" s="105">
        <f>'AUG 2025'!S26</f>
        <v>30.693340641271583</v>
      </c>
      <c r="E137" s="105">
        <f>'AUG 2025'!Y26</f>
        <v>92.080021923814741</v>
      </c>
      <c r="F137" s="105">
        <f>'AUG 2025'!AE26</f>
        <v>26.308577692518497</v>
      </c>
      <c r="G137" s="86">
        <f t="shared" si="7"/>
        <v>166.62099205261717</v>
      </c>
      <c r="H137" s="169" t="s">
        <v>91</v>
      </c>
      <c r="I137" s="170"/>
      <c r="J137" s="170"/>
      <c r="K137" s="170"/>
      <c r="L137" s="170"/>
      <c r="M137" s="170"/>
      <c r="N137" s="170"/>
      <c r="O137" s="171"/>
    </row>
    <row r="138" spans="1:15" ht="15">
      <c r="A138" s="108">
        <v>45881</v>
      </c>
      <c r="B138" s="105">
        <f>'AUG 2025'!G27</f>
        <v>87.695258975061662</v>
      </c>
      <c r="C138" s="105">
        <f>'AUG 2025'!M27</f>
        <v>52.617155385036995</v>
      </c>
      <c r="D138" s="105">
        <f>'AUG 2025'!S27</f>
        <v>57.00191833379008</v>
      </c>
      <c r="E138" s="105">
        <f>'AUG 2025'!Y27</f>
        <v>43.847629487530831</v>
      </c>
      <c r="F138" s="105">
        <f>'AUG 2025'!AE27</f>
        <v>61.386681282543165</v>
      </c>
      <c r="G138" s="86">
        <f t="shared" si="7"/>
        <v>302.54864346396278</v>
      </c>
      <c r="H138" s="169" t="s">
        <v>92</v>
      </c>
      <c r="I138" s="170"/>
      <c r="J138" s="170"/>
      <c r="K138" s="170"/>
      <c r="L138" s="170"/>
      <c r="M138" s="170"/>
      <c r="N138" s="170"/>
      <c r="O138" s="171"/>
    </row>
    <row r="139" spans="1:15" ht="14.45" customHeight="1">
      <c r="A139" s="108">
        <v>45882</v>
      </c>
      <c r="B139" s="105">
        <f>'AUG 2025'!G28</f>
        <v>26.308577692518497</v>
      </c>
      <c r="C139" s="105">
        <f>'AUG 2025'!M28</f>
        <v>52.617155385036995</v>
      </c>
      <c r="D139" s="105">
        <f>'AUG 2025'!S28</f>
        <v>57.00191833379008</v>
      </c>
      <c r="E139" s="105">
        <f>'AUG 2025'!Y28</f>
        <v>100.84954782132091</v>
      </c>
      <c r="F139" s="105">
        <f>'AUG 2025'!AE28</f>
        <v>35.078103590024661</v>
      </c>
      <c r="G139" s="86">
        <f t="shared" si="7"/>
        <v>271.85530282269116</v>
      </c>
      <c r="H139" s="169" t="s">
        <v>92</v>
      </c>
      <c r="I139" s="170"/>
      <c r="J139" s="170"/>
      <c r="K139" s="170"/>
      <c r="L139" s="170"/>
      <c r="M139" s="170"/>
      <c r="N139" s="170"/>
      <c r="O139" s="171"/>
    </row>
    <row r="140" spans="1:15" ht="15">
      <c r="A140" s="108">
        <v>45883</v>
      </c>
      <c r="B140" s="105">
        <f>'AUG 2025'!G29</f>
        <v>127.15812551383941</v>
      </c>
      <c r="C140" s="105">
        <f>'AUG 2025'!M29</f>
        <v>35.078103590024661</v>
      </c>
      <c r="D140" s="105">
        <f>'AUG 2025'!S29</f>
        <v>74.540970128802414</v>
      </c>
      <c r="E140" s="105">
        <f>'AUG 2025'!Y29</f>
        <v>26.308577692518497</v>
      </c>
      <c r="F140" s="105">
        <f>'AUG 2025'!AE29</f>
        <v>122.77336256508633</v>
      </c>
      <c r="G140" s="86">
        <f t="shared" si="7"/>
        <v>385.85913949027133</v>
      </c>
      <c r="H140" s="169" t="s">
        <v>93</v>
      </c>
      <c r="I140" s="170"/>
      <c r="J140" s="170"/>
      <c r="K140" s="170"/>
      <c r="L140" s="170"/>
      <c r="M140" s="170"/>
      <c r="N140" s="170"/>
      <c r="O140" s="171"/>
    </row>
    <row r="141" spans="1:15" ht="14.45" customHeight="1">
      <c r="A141" s="108">
        <v>45884</v>
      </c>
      <c r="B141" s="105">
        <f>'AUG 2025'!G30</f>
        <v>83.310496026308584</v>
      </c>
      <c r="C141" s="105">
        <f>'AUG 2025'!M30</f>
        <v>35.078103590024661</v>
      </c>
      <c r="D141" s="105">
        <f>'AUG 2025'!S30</f>
        <v>61.386681282543165</v>
      </c>
      <c r="E141" s="105">
        <f>'AUG 2025'!Y30</f>
        <v>35.078103590024661</v>
      </c>
      <c r="F141" s="105">
        <f>'AUG 2025'!AE30</f>
        <v>43.847629487530831</v>
      </c>
      <c r="G141" s="86">
        <f t="shared" si="7"/>
        <v>258.70101397643191</v>
      </c>
      <c r="H141" s="169" t="s">
        <v>94</v>
      </c>
      <c r="I141" s="170"/>
      <c r="J141" s="170"/>
      <c r="K141" s="170"/>
      <c r="L141" s="170"/>
      <c r="M141" s="170"/>
      <c r="N141" s="170"/>
      <c r="O141" s="171"/>
    </row>
    <row r="142" spans="1:15" ht="15">
      <c r="A142" s="108">
        <v>45885</v>
      </c>
      <c r="B142" s="105">
        <f>'AUG 2025'!G31</f>
        <v>236.77719923266648</v>
      </c>
      <c r="C142" s="105">
        <f>'AUG 2025'!M31</f>
        <v>35.078103590024661</v>
      </c>
      <c r="D142" s="105">
        <f>'AUG 2025'!S31</f>
        <v>0</v>
      </c>
      <c r="E142" s="105">
        <f>'AUG 2025'!Y31</f>
        <v>109.61907371882708</v>
      </c>
      <c r="F142" s="105">
        <f>'AUG 2025'!AE31</f>
        <v>61.386681282543165</v>
      </c>
      <c r="G142" s="86">
        <f t="shared" si="7"/>
        <v>442.86105782406145</v>
      </c>
      <c r="H142" s="169" t="s">
        <v>95</v>
      </c>
      <c r="I142" s="170"/>
      <c r="J142" s="170"/>
      <c r="K142" s="170"/>
      <c r="L142" s="170"/>
      <c r="M142" s="170"/>
      <c r="N142" s="170"/>
      <c r="O142" s="171"/>
    </row>
    <row r="143" spans="1:15">
      <c r="A143" s="108">
        <v>45886</v>
      </c>
      <c r="B143" s="105">
        <f>'AUG 2025'!G32</f>
        <v>0</v>
      </c>
      <c r="C143" s="105">
        <f>'AUG 2025'!M32</f>
        <v>0</v>
      </c>
      <c r="D143" s="105">
        <f>'AUG 2025'!S32</f>
        <v>0</v>
      </c>
      <c r="E143" s="105">
        <f>'AUG 2025'!Y32</f>
        <v>0</v>
      </c>
      <c r="F143" s="105">
        <f>'AUG 2025'!AE32</f>
        <v>0</v>
      </c>
      <c r="G143" s="86">
        <f t="shared" si="7"/>
        <v>0</v>
      </c>
      <c r="H143" s="169" t="s">
        <v>90</v>
      </c>
      <c r="I143" s="170"/>
      <c r="J143" s="170"/>
      <c r="K143" s="170"/>
      <c r="L143" s="170"/>
      <c r="M143" s="170"/>
      <c r="N143" s="170"/>
      <c r="O143" s="171"/>
    </row>
    <row r="144" spans="1:15">
      <c r="A144" s="108">
        <v>45887</v>
      </c>
      <c r="B144" s="105">
        <f>'AUG 2025'!G33</f>
        <v>100.84954782132091</v>
      </c>
      <c r="C144" s="105">
        <f>'AUG 2025'!M33</f>
        <v>61.386681282543165</v>
      </c>
      <c r="D144" s="105">
        <f>'AUG 2025'!S33</f>
        <v>70.156207180049321</v>
      </c>
      <c r="E144" s="105">
        <f>'AUG 2025'!Y33</f>
        <v>87.695258975061662</v>
      </c>
      <c r="F144" s="105">
        <f>'AUG 2025'!AE33</f>
        <v>0</v>
      </c>
      <c r="G144" s="86">
        <f t="shared" si="7"/>
        <v>320.08769525897509</v>
      </c>
      <c r="H144" s="169" t="s">
        <v>96</v>
      </c>
      <c r="I144" s="170"/>
      <c r="J144" s="170"/>
      <c r="K144" s="170"/>
      <c r="L144" s="170"/>
      <c r="M144" s="170"/>
      <c r="N144" s="170"/>
      <c r="O144" s="171"/>
    </row>
    <row r="145" spans="1:15">
      <c r="A145" s="108">
        <v>45888</v>
      </c>
      <c r="B145" s="105">
        <f>'AUG 2025'!G34</f>
        <v>127.15812551383941</v>
      </c>
      <c r="C145" s="105">
        <f>'AUG 2025'!M34</f>
        <v>35.078103590024661</v>
      </c>
      <c r="D145" s="105">
        <f>'AUG 2025'!S34</f>
        <v>0</v>
      </c>
      <c r="E145" s="105">
        <f>'AUG 2025'!Y34</f>
        <v>78.925733077555492</v>
      </c>
      <c r="F145" s="105">
        <f>'AUG 2025'!AE34</f>
        <v>61.386681282543165</v>
      </c>
      <c r="G145" s="86">
        <f t="shared" si="7"/>
        <v>302.54864346396272</v>
      </c>
      <c r="H145" s="169" t="s">
        <v>97</v>
      </c>
      <c r="I145" s="170"/>
      <c r="J145" s="170"/>
      <c r="K145" s="170"/>
      <c r="L145" s="170"/>
      <c r="M145" s="170"/>
      <c r="N145" s="170"/>
      <c r="O145" s="171"/>
    </row>
    <row r="146" spans="1:15">
      <c r="A146" s="108">
        <v>45889</v>
      </c>
      <c r="B146" s="105">
        <f>'AUG 2025'!G35</f>
        <v>188.54480679638257</v>
      </c>
      <c r="C146" s="105">
        <f>'AUG 2025'!M35</f>
        <v>65.771444231296243</v>
      </c>
      <c r="D146" s="105">
        <f>'AUG 2025'!S35</f>
        <v>43.847629487530831</v>
      </c>
      <c r="E146" s="105">
        <f>'AUG 2025'!Y35</f>
        <v>61.386681282543165</v>
      </c>
      <c r="F146" s="105">
        <f>'AUG 2025'!AE35</f>
        <v>43.847629487530831</v>
      </c>
      <c r="G146" s="86">
        <f t="shared" si="7"/>
        <v>403.39819128528364</v>
      </c>
      <c r="H146" s="169"/>
      <c r="I146" s="170"/>
      <c r="J146" s="170"/>
      <c r="K146" s="170"/>
      <c r="L146" s="170"/>
      <c r="M146" s="170"/>
      <c r="N146" s="170"/>
      <c r="O146" s="171"/>
    </row>
    <row r="147" spans="1:15">
      <c r="A147" s="108">
        <v>45890</v>
      </c>
      <c r="B147" s="105">
        <f>'AUG 2025'!G36</f>
        <v>0</v>
      </c>
      <c r="C147" s="105">
        <f>'AUG 2025'!M36</f>
        <v>0</v>
      </c>
      <c r="D147" s="105">
        <f>'AUG 2025'!S36</f>
        <v>0</v>
      </c>
      <c r="E147" s="105">
        <f>'AUG 2025'!Y36</f>
        <v>0</v>
      </c>
      <c r="F147" s="105">
        <f>'AUG 2025'!AE36</f>
        <v>0</v>
      </c>
      <c r="G147" s="86">
        <f t="shared" si="7"/>
        <v>0</v>
      </c>
      <c r="H147" s="172"/>
      <c r="I147" s="170"/>
      <c r="J147" s="170"/>
      <c r="K147" s="170"/>
      <c r="L147" s="170"/>
      <c r="M147" s="170"/>
      <c r="N147" s="170"/>
      <c r="O147" s="171"/>
    </row>
    <row r="148" spans="1:15">
      <c r="A148" s="108">
        <v>45891</v>
      </c>
      <c r="B148" s="105">
        <f>'AUG 2025'!G37</f>
        <v>0</v>
      </c>
      <c r="C148" s="105">
        <f>'AUG 2025'!M37</f>
        <v>0</v>
      </c>
      <c r="D148" s="105">
        <f>'AUG 2025'!S37</f>
        <v>0</v>
      </c>
      <c r="E148" s="105">
        <f>'AUG 2025'!Y37</f>
        <v>0</v>
      </c>
      <c r="F148" s="105">
        <f>'AUG 2025'!AE37</f>
        <v>0</v>
      </c>
      <c r="G148" s="86">
        <f t="shared" si="7"/>
        <v>0</v>
      </c>
      <c r="H148" s="169"/>
      <c r="I148" s="170"/>
      <c r="J148" s="170"/>
      <c r="K148" s="170"/>
      <c r="L148" s="170"/>
      <c r="M148" s="170"/>
      <c r="N148" s="170"/>
      <c r="O148" s="171"/>
    </row>
    <row r="149" spans="1:15">
      <c r="A149" s="108">
        <v>45892</v>
      </c>
      <c r="B149" s="105">
        <f>'AUG 2025'!G38</f>
        <v>0</v>
      </c>
      <c r="C149" s="105">
        <f>'AUG 2025'!M38</f>
        <v>0</v>
      </c>
      <c r="D149" s="105">
        <f>'AUG 2025'!S38</f>
        <v>0</v>
      </c>
      <c r="E149" s="105">
        <f>'AUG 2025'!Y38</f>
        <v>0</v>
      </c>
      <c r="F149" s="105">
        <f>'AUG 2025'!AE38</f>
        <v>0</v>
      </c>
      <c r="G149" s="86">
        <f t="shared" si="7"/>
        <v>0</v>
      </c>
      <c r="H149" s="169"/>
      <c r="I149" s="170"/>
      <c r="J149" s="170"/>
      <c r="K149" s="170"/>
      <c r="L149" s="170"/>
      <c r="M149" s="170"/>
      <c r="N149" s="170"/>
      <c r="O149" s="171"/>
    </row>
    <row r="150" spans="1:15">
      <c r="A150" s="108">
        <v>45893</v>
      </c>
      <c r="B150" s="105">
        <f>'AUG 2025'!G39</f>
        <v>0</v>
      </c>
      <c r="C150" s="105">
        <f>'AUG 2025'!M39</f>
        <v>0</v>
      </c>
      <c r="D150" s="105">
        <f>'AUG 2025'!S39</f>
        <v>0</v>
      </c>
      <c r="E150" s="105">
        <f>'AUG 2025'!Y39</f>
        <v>0</v>
      </c>
      <c r="F150" s="105">
        <f>'AUG 2025'!AE39</f>
        <v>0</v>
      </c>
      <c r="G150" s="86">
        <f t="shared" si="7"/>
        <v>0</v>
      </c>
      <c r="H150" s="169"/>
      <c r="I150" s="170"/>
      <c r="J150" s="170"/>
      <c r="K150" s="170"/>
      <c r="L150" s="170"/>
      <c r="M150" s="170"/>
      <c r="N150" s="170"/>
      <c r="O150" s="171"/>
    </row>
    <row r="151" spans="1:15">
      <c r="A151" s="108">
        <v>45894</v>
      </c>
      <c r="B151" s="105">
        <f>'AUG 2025'!G40</f>
        <v>0</v>
      </c>
      <c r="C151" s="105">
        <f>'AUG 2025'!M40</f>
        <v>0</v>
      </c>
      <c r="D151" s="105">
        <f>'AUG 2025'!S40</f>
        <v>0</v>
      </c>
      <c r="E151" s="105">
        <f>'AUG 2025'!Y40</f>
        <v>0</v>
      </c>
      <c r="F151" s="105">
        <f>'AUG 2025'!AE40</f>
        <v>0</v>
      </c>
      <c r="G151" s="86">
        <f t="shared" si="7"/>
        <v>0</v>
      </c>
      <c r="H151" s="169"/>
      <c r="I151" s="170"/>
      <c r="J151" s="170"/>
      <c r="K151" s="170"/>
      <c r="L151" s="170"/>
      <c r="M151" s="170"/>
      <c r="N151" s="170"/>
      <c r="O151" s="171"/>
    </row>
    <row r="152" spans="1:15">
      <c r="A152" s="108">
        <v>45895</v>
      </c>
      <c r="B152" s="105">
        <f>'AUG 2025'!G41</f>
        <v>0</v>
      </c>
      <c r="C152" s="105">
        <f>'AUG 2025'!M41</f>
        <v>0</v>
      </c>
      <c r="D152" s="105">
        <f>'AUG 2025'!S41</f>
        <v>0</v>
      </c>
      <c r="E152" s="105">
        <f>'AUG 2025'!Y41</f>
        <v>0</v>
      </c>
      <c r="F152" s="105">
        <f>'AUG 2025'!AE41</f>
        <v>0</v>
      </c>
      <c r="G152" s="86">
        <f t="shared" si="7"/>
        <v>0</v>
      </c>
      <c r="H152" s="169"/>
      <c r="I152" s="170"/>
      <c r="J152" s="170"/>
      <c r="K152" s="170"/>
      <c r="L152" s="170"/>
      <c r="M152" s="170"/>
      <c r="N152" s="170"/>
      <c r="O152" s="171"/>
    </row>
    <row r="153" spans="1:15">
      <c r="A153" s="108">
        <v>45896</v>
      </c>
      <c r="B153" s="105">
        <f>'AUG 2025'!G42</f>
        <v>0</v>
      </c>
      <c r="C153" s="105">
        <f>'AUG 2025'!M42</f>
        <v>0</v>
      </c>
      <c r="D153" s="105">
        <f>'AUG 2025'!S42</f>
        <v>0</v>
      </c>
      <c r="E153" s="105">
        <f>'AUG 2025'!Y42</f>
        <v>0</v>
      </c>
      <c r="F153" s="105">
        <f>'AUG 2025'!AE42</f>
        <v>0</v>
      </c>
      <c r="G153" s="86">
        <f t="shared" si="7"/>
        <v>0</v>
      </c>
      <c r="H153" s="169"/>
      <c r="I153" s="170"/>
      <c r="J153" s="170"/>
      <c r="K153" s="170"/>
      <c r="L153" s="170"/>
      <c r="M153" s="170"/>
      <c r="N153" s="170"/>
      <c r="O153" s="171"/>
    </row>
    <row r="154" spans="1:15">
      <c r="A154" s="108">
        <v>45897</v>
      </c>
      <c r="B154" s="105">
        <f>'AUG 2025'!G43</f>
        <v>0</v>
      </c>
      <c r="C154" s="105">
        <f>'AUG 2025'!M43</f>
        <v>0</v>
      </c>
      <c r="D154" s="105">
        <f>'AUG 2025'!S43</f>
        <v>0</v>
      </c>
      <c r="E154" s="105">
        <f>'AUG 2025'!Y43</f>
        <v>0</v>
      </c>
      <c r="F154" s="105">
        <f>'AUG 2025'!AE43</f>
        <v>0</v>
      </c>
      <c r="G154" s="86">
        <f t="shared" si="7"/>
        <v>0</v>
      </c>
      <c r="H154" s="169"/>
      <c r="I154" s="170"/>
      <c r="J154" s="170"/>
      <c r="K154" s="170"/>
      <c r="L154" s="170"/>
      <c r="M154" s="170"/>
      <c r="N154" s="170"/>
      <c r="O154" s="171"/>
    </row>
    <row r="155" spans="1:15">
      <c r="A155" s="108">
        <v>45898</v>
      </c>
      <c r="B155" s="105">
        <f>'AUG 2025'!G44</f>
        <v>0</v>
      </c>
      <c r="C155" s="105">
        <f>'AUG 2025'!M44</f>
        <v>0</v>
      </c>
      <c r="D155" s="105">
        <f>'AUG 2025'!S44</f>
        <v>0</v>
      </c>
      <c r="E155" s="105">
        <f>'AUG 2025'!Y44</f>
        <v>0</v>
      </c>
      <c r="F155" s="105">
        <f>'AUG 2025'!AE44</f>
        <v>0</v>
      </c>
      <c r="G155" s="86">
        <f t="shared" si="7"/>
        <v>0</v>
      </c>
      <c r="H155" s="169"/>
      <c r="I155" s="170"/>
      <c r="J155" s="170"/>
      <c r="K155" s="170"/>
      <c r="L155" s="170"/>
      <c r="M155" s="170"/>
      <c r="N155" s="170"/>
      <c r="O155" s="171"/>
    </row>
    <row r="156" spans="1:15">
      <c r="A156" s="108">
        <v>45899</v>
      </c>
      <c r="B156" s="105">
        <f>'AUG 2025'!G45</f>
        <v>0</v>
      </c>
      <c r="C156" s="105">
        <f>'AUG 2025'!M45</f>
        <v>0</v>
      </c>
      <c r="D156" s="105">
        <f>'AUG 2025'!S45</f>
        <v>0</v>
      </c>
      <c r="E156" s="105">
        <f>'AUG 2025'!Y45</f>
        <v>0</v>
      </c>
      <c r="F156" s="105">
        <f>'AUG 2025'!AE45</f>
        <v>0</v>
      </c>
      <c r="G156" s="86">
        <f t="shared" si="7"/>
        <v>0</v>
      </c>
      <c r="H156" s="169"/>
      <c r="I156" s="170"/>
      <c r="J156" s="170"/>
      <c r="K156" s="170"/>
      <c r="L156" s="170"/>
      <c r="M156" s="170"/>
      <c r="N156" s="170"/>
      <c r="O156" s="171"/>
    </row>
    <row r="157" spans="1:15">
      <c r="A157" s="146">
        <v>45900</v>
      </c>
      <c r="B157" s="105">
        <f>'AUG 2025'!G46</f>
        <v>0</v>
      </c>
      <c r="C157" s="105">
        <f>'AUG 2025'!M46</f>
        <v>0</v>
      </c>
      <c r="D157" s="105">
        <f>'AUG 2025'!S46</f>
        <v>0</v>
      </c>
      <c r="E157" s="105">
        <f>'AUG 2025'!Y46</f>
        <v>0</v>
      </c>
      <c r="F157" s="105">
        <f>'AUG 2025'!AE46</f>
        <v>0</v>
      </c>
      <c r="G157" s="86">
        <f t="shared" si="7"/>
        <v>0</v>
      </c>
      <c r="H157" s="169"/>
      <c r="I157" s="170"/>
      <c r="J157" s="170"/>
      <c r="K157" s="170"/>
      <c r="L157" s="170"/>
      <c r="M157" s="170"/>
      <c r="N157" s="170"/>
      <c r="O157" s="171"/>
    </row>
  </sheetData>
  <mergeCells count="133">
    <mergeCell ref="H111:O111"/>
    <mergeCell ref="H112:O112"/>
    <mergeCell ref="H109:O109"/>
    <mergeCell ref="H110:O110"/>
    <mergeCell ref="H81:O81"/>
    <mergeCell ref="H82:O82"/>
    <mergeCell ref="H83:O83"/>
    <mergeCell ref="H104:O104"/>
    <mergeCell ref="H105:O105"/>
    <mergeCell ref="H106:O106"/>
    <mergeCell ref="H107:O107"/>
    <mergeCell ref="H108:O108"/>
    <mergeCell ref="H99:O99"/>
    <mergeCell ref="H100:O100"/>
    <mergeCell ref="H101:O101"/>
    <mergeCell ref="H102:O102"/>
    <mergeCell ref="H85:O85"/>
    <mergeCell ref="H86:O86"/>
    <mergeCell ref="H87:O87"/>
    <mergeCell ref="H88:O88"/>
    <mergeCell ref="H103:O103"/>
    <mergeCell ref="H94:O94"/>
    <mergeCell ref="H95:O95"/>
    <mergeCell ref="H96:O96"/>
    <mergeCell ref="H97:O97"/>
    <mergeCell ref="H98:O98"/>
    <mergeCell ref="O2:O3"/>
    <mergeCell ref="J1:O1"/>
    <mergeCell ref="N2:N3"/>
    <mergeCell ref="B2:E2"/>
    <mergeCell ref="F2:F3"/>
    <mergeCell ref="G2:G3"/>
    <mergeCell ref="H2:H3"/>
    <mergeCell ref="J2:M2"/>
    <mergeCell ref="I2:I3"/>
    <mergeCell ref="B35:G35"/>
    <mergeCell ref="H36:O36"/>
    <mergeCell ref="H37:O37"/>
    <mergeCell ref="H38:O38"/>
    <mergeCell ref="H39:O39"/>
    <mergeCell ref="H20:O20"/>
    <mergeCell ref="H21:O21"/>
    <mergeCell ref="H22:O22"/>
    <mergeCell ref="B11:G11"/>
    <mergeCell ref="H15:O15"/>
    <mergeCell ref="H16:O16"/>
    <mergeCell ref="H17:O17"/>
    <mergeCell ref="H18:O18"/>
    <mergeCell ref="H19:O19"/>
    <mergeCell ref="H12:O12"/>
    <mergeCell ref="H14:O14"/>
    <mergeCell ref="H13:O13"/>
    <mergeCell ref="B26:E26"/>
    <mergeCell ref="F26:F27"/>
    <mergeCell ref="G26:G27"/>
    <mergeCell ref="H26:H27"/>
    <mergeCell ref="I26:I27"/>
    <mergeCell ref="B23:D23"/>
    <mergeCell ref="H45:O45"/>
    <mergeCell ref="H46:O46"/>
    <mergeCell ref="H47:O47"/>
    <mergeCell ref="H48:O48"/>
    <mergeCell ref="H40:O40"/>
    <mergeCell ref="H41:O41"/>
    <mergeCell ref="H42:O42"/>
    <mergeCell ref="H43:O43"/>
    <mergeCell ref="H44:O44"/>
    <mergeCell ref="H54:O54"/>
    <mergeCell ref="H55:O55"/>
    <mergeCell ref="H56:O56"/>
    <mergeCell ref="H57:O57"/>
    <mergeCell ref="H58:O58"/>
    <mergeCell ref="H49:O49"/>
    <mergeCell ref="H50:O50"/>
    <mergeCell ref="H51:O51"/>
    <mergeCell ref="H52:O52"/>
    <mergeCell ref="H53:O53"/>
    <mergeCell ref="B115:E115"/>
    <mergeCell ref="F115:F116"/>
    <mergeCell ref="G115:G116"/>
    <mergeCell ref="H115:H116"/>
    <mergeCell ref="I115:I116"/>
    <mergeCell ref="H64:O64"/>
    <mergeCell ref="H65:O65"/>
    <mergeCell ref="H66:O66"/>
    <mergeCell ref="H59:O59"/>
    <mergeCell ref="H60:O60"/>
    <mergeCell ref="H61:O61"/>
    <mergeCell ref="H62:O62"/>
    <mergeCell ref="H63:O63"/>
    <mergeCell ref="I70:I71"/>
    <mergeCell ref="B80:G80"/>
    <mergeCell ref="B70:E70"/>
    <mergeCell ref="F70:F71"/>
    <mergeCell ref="G70:G71"/>
    <mergeCell ref="H70:H71"/>
    <mergeCell ref="H89:O89"/>
    <mergeCell ref="H90:O90"/>
    <mergeCell ref="H92:O92"/>
    <mergeCell ref="H93:O93"/>
    <mergeCell ref="H84:O84"/>
    <mergeCell ref="H130:O130"/>
    <mergeCell ref="H131:O131"/>
    <mergeCell ref="H132:O132"/>
    <mergeCell ref="H133:O133"/>
    <mergeCell ref="H134:O134"/>
    <mergeCell ref="B125:G125"/>
    <mergeCell ref="H126:O126"/>
    <mergeCell ref="H127:O127"/>
    <mergeCell ref="H128:O128"/>
    <mergeCell ref="H129:O129"/>
    <mergeCell ref="H141:O141"/>
    <mergeCell ref="H142:O142"/>
    <mergeCell ref="H143:O143"/>
    <mergeCell ref="H144:O144"/>
    <mergeCell ref="H145:O145"/>
    <mergeCell ref="H135:O135"/>
    <mergeCell ref="H137:O137"/>
    <mergeCell ref="H138:O138"/>
    <mergeCell ref="H139:O139"/>
    <mergeCell ref="H140:O140"/>
    <mergeCell ref="H156:O156"/>
    <mergeCell ref="H157:O157"/>
    <mergeCell ref="H151:O151"/>
    <mergeCell ref="H152:O152"/>
    <mergeCell ref="H153:O153"/>
    <mergeCell ref="H154:O154"/>
    <mergeCell ref="H155:O155"/>
    <mergeCell ref="H146:O146"/>
    <mergeCell ref="H147:O147"/>
    <mergeCell ref="H148:O148"/>
    <mergeCell ref="H149:O149"/>
    <mergeCell ref="H150:O150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E897-DE20-4DF1-9E9B-641B0EA9D096}">
  <dimension ref="A1:AF24"/>
  <sheetViews>
    <sheetView zoomScale="85" zoomScaleNormal="85" workbookViewId="0">
      <pane xSplit="1" topLeftCell="G1" activePane="topRight" state="frozen"/>
      <selection pane="topRight" activeCell="G41" sqref="G41"/>
    </sheetView>
  </sheetViews>
  <sheetFormatPr defaultColWidth="8.7109375" defaultRowHeight="15.6"/>
  <cols>
    <col min="1" max="1" width="24.5703125" style="32" customWidth="1"/>
    <col min="2" max="5" width="9.140625" style="31" bestFit="1" customWidth="1"/>
    <col min="6" max="6" width="11.85546875" style="31" customWidth="1"/>
    <col min="7" max="7" width="12.42578125" style="31" customWidth="1"/>
    <col min="8" max="8" width="11.85546875" style="31" customWidth="1"/>
    <col min="9" max="9" width="10.140625" style="31" customWidth="1"/>
    <col min="10" max="10" width="10.85546875" style="31" customWidth="1"/>
    <col min="11" max="11" width="8.7109375" style="31"/>
    <col min="12" max="12" width="11.42578125" style="31" customWidth="1"/>
    <col min="13" max="13" width="10.42578125" style="31" customWidth="1"/>
    <col min="14" max="14" width="11.140625" style="31" customWidth="1"/>
    <col min="15" max="15" width="12.5703125" style="31" customWidth="1"/>
    <col min="16" max="16" width="11.7109375" style="31" customWidth="1"/>
    <col min="17" max="17" width="8.7109375" style="31"/>
    <col min="18" max="18" width="10.85546875" style="31" customWidth="1"/>
    <col min="19" max="23" width="8.7109375" style="31"/>
    <col min="24" max="24" width="10.5703125" style="31" customWidth="1"/>
    <col min="25" max="25" width="9.140625" style="31" customWidth="1"/>
    <col min="26" max="29" width="8.7109375" style="31"/>
    <col min="30" max="30" width="11.28515625" style="31" customWidth="1"/>
    <col min="31" max="31" width="8.7109375" style="31"/>
    <col min="32" max="32" width="14.85546875" style="59" customWidth="1"/>
    <col min="33" max="16384" width="8.7109375" style="31"/>
  </cols>
  <sheetData>
    <row r="1" spans="1:32" ht="15.95" thickBot="1">
      <c r="A1" s="45" t="s">
        <v>0</v>
      </c>
    </row>
    <row r="2" spans="1:32" ht="22.5" customHeight="1" thickBot="1">
      <c r="A2" s="25" t="s">
        <v>1</v>
      </c>
      <c r="B2" s="177" t="s">
        <v>2</v>
      </c>
      <c r="C2" s="178"/>
      <c r="D2" s="178"/>
      <c r="E2" s="178"/>
      <c r="F2" s="181" t="s">
        <v>3</v>
      </c>
      <c r="G2" s="179" t="s">
        <v>4</v>
      </c>
      <c r="H2" s="181" t="s">
        <v>5</v>
      </c>
      <c r="I2" s="181" t="s">
        <v>6</v>
      </c>
    </row>
    <row r="3" spans="1:32" ht="23.45" customHeight="1" thickBot="1">
      <c r="A3" s="26" t="s">
        <v>7</v>
      </c>
      <c r="B3" s="22" t="s">
        <v>8</v>
      </c>
      <c r="C3" s="23" t="s">
        <v>9</v>
      </c>
      <c r="D3" s="23" t="s">
        <v>10</v>
      </c>
      <c r="E3" s="24" t="s">
        <v>11</v>
      </c>
      <c r="F3" s="182"/>
      <c r="G3" s="180"/>
      <c r="H3" s="182"/>
      <c r="I3" s="182"/>
      <c r="L3" s="72" t="s">
        <v>98</v>
      </c>
    </row>
    <row r="4" spans="1:32">
      <c r="A4" s="27" t="s">
        <v>12</v>
      </c>
      <c r="B4" s="1">
        <v>3</v>
      </c>
      <c r="C4" s="2">
        <v>1</v>
      </c>
      <c r="D4" s="2">
        <v>1</v>
      </c>
      <c r="E4" s="3">
        <v>1</v>
      </c>
      <c r="F4" s="4">
        <f>(B4*4)+(C4*6)+(D4*4)+(E4*3)</f>
        <v>25</v>
      </c>
      <c r="G4" s="5">
        <f>($F4*8*26)/1.8245</f>
        <v>2850.0959166895041</v>
      </c>
      <c r="H4" s="19">
        <f>G4/4</f>
        <v>712.52397917237602</v>
      </c>
      <c r="I4" s="53">
        <f>($F4*8)/1.8245</f>
        <v>109.61907371882708</v>
      </c>
      <c r="J4" s="57">
        <f>I4*19</f>
        <v>2082.7624006577144</v>
      </c>
      <c r="K4" s="111">
        <f>G24</f>
        <v>548.09536859413538</v>
      </c>
      <c r="L4" s="57">
        <f>J4+K4</f>
        <v>2630.8577692518497</v>
      </c>
      <c r="P4" s="57">
        <f>I9*19</f>
        <v>8747.6020827623997</v>
      </c>
      <c r="Q4" s="31" t="s">
        <v>99</v>
      </c>
      <c r="R4" s="31" t="s">
        <v>100</v>
      </c>
    </row>
    <row r="5" spans="1:32">
      <c r="A5" s="28" t="s">
        <v>13</v>
      </c>
      <c r="B5" s="6">
        <v>2</v>
      </c>
      <c r="C5" s="7">
        <v>1</v>
      </c>
      <c r="D5" s="8">
        <v>1</v>
      </c>
      <c r="E5" s="9">
        <v>1</v>
      </c>
      <c r="F5" s="4">
        <f>(B5*4)+(C5*6)+(D5*4)+(E5*3)</f>
        <v>21</v>
      </c>
      <c r="G5" s="5">
        <f t="shared" ref="G5:G8" si="0">($F5*8*26)/1.8245</f>
        <v>2394.0805700191831</v>
      </c>
      <c r="H5" s="20">
        <f>G5/4</f>
        <v>598.52014250479579</v>
      </c>
      <c r="I5" s="53">
        <f t="shared" ref="I5:I8" si="1">($F5*8)/1.8245</f>
        <v>92.080021923814741</v>
      </c>
      <c r="J5" s="57">
        <f>I5*19</f>
        <v>1749.5204165524801</v>
      </c>
      <c r="K5" s="111">
        <f>M24</f>
        <v>719.10112359550567</v>
      </c>
      <c r="L5" s="57">
        <f>J5+K5</f>
        <v>2468.6215401479858</v>
      </c>
      <c r="P5" s="70">
        <f>SUM(AF14:AF23)</f>
        <v>2367.771992326665</v>
      </c>
      <c r="Q5" s="31" t="s">
        <v>101</v>
      </c>
      <c r="R5" s="31" t="s">
        <v>102</v>
      </c>
    </row>
    <row r="6" spans="1:32">
      <c r="A6" s="28" t="s">
        <v>14</v>
      </c>
      <c r="B6" s="10">
        <v>2</v>
      </c>
      <c r="C6" s="8">
        <v>1</v>
      </c>
      <c r="D6" s="8">
        <v>1</v>
      </c>
      <c r="E6" s="11">
        <v>1</v>
      </c>
      <c r="F6" s="4">
        <f>(B6*4)+(C6*6)+(D6*4)+(E6*3)</f>
        <v>21</v>
      </c>
      <c r="G6" s="5">
        <f t="shared" si="0"/>
        <v>2394.0805700191831</v>
      </c>
      <c r="H6" s="20">
        <f>G6/4</f>
        <v>598.52014250479579</v>
      </c>
      <c r="I6" s="53">
        <f t="shared" si="1"/>
        <v>92.080021923814741</v>
      </c>
      <c r="J6" s="57">
        <f>I6*19</f>
        <v>1749.5204165524801</v>
      </c>
      <c r="K6" s="111">
        <f>S24</f>
        <v>534.94107974787619</v>
      </c>
      <c r="L6" s="57">
        <f>J6+K6</f>
        <v>2284.4614963003564</v>
      </c>
      <c r="P6" s="58">
        <f>P4+P5</f>
        <v>11115.374075089065</v>
      </c>
    </row>
    <row r="7" spans="1:32">
      <c r="A7" s="28" t="s">
        <v>15</v>
      </c>
      <c r="B7" s="6">
        <v>2</v>
      </c>
      <c r="C7" s="12">
        <v>1</v>
      </c>
      <c r="D7" s="8">
        <v>1</v>
      </c>
      <c r="E7" s="11">
        <v>1</v>
      </c>
      <c r="F7" s="4">
        <f>(B7*4)+(C7*6)+(D7*4)+(E7*3)</f>
        <v>21</v>
      </c>
      <c r="G7" s="5">
        <f t="shared" si="0"/>
        <v>2394.0805700191831</v>
      </c>
      <c r="H7" s="20">
        <f>G7/4</f>
        <v>598.52014250479579</v>
      </c>
      <c r="I7" s="53">
        <f t="shared" si="1"/>
        <v>92.080021923814741</v>
      </c>
      <c r="J7" s="57">
        <f>I7*19</f>
        <v>1749.5204165524801</v>
      </c>
      <c r="K7" s="111">
        <f>Y24</f>
        <v>258.70101397643191</v>
      </c>
      <c r="L7" s="57">
        <f>J7+K7</f>
        <v>2008.2214305289122</v>
      </c>
    </row>
    <row r="8" spans="1:32" ht="15.95" thickBot="1">
      <c r="A8" s="29" t="s">
        <v>16</v>
      </c>
      <c r="B8" s="13">
        <v>2</v>
      </c>
      <c r="C8" s="14">
        <v>1</v>
      </c>
      <c r="D8" s="14"/>
      <c r="E8" s="15">
        <v>1</v>
      </c>
      <c r="F8" s="4">
        <f>(B8*4)+(C8*6)+(D8*4)+(E8*3)</f>
        <v>17</v>
      </c>
      <c r="G8" s="5">
        <f t="shared" si="0"/>
        <v>1938.0652233488627</v>
      </c>
      <c r="H8" s="21">
        <f>G8/4</f>
        <v>484.51630583721567</v>
      </c>
      <c r="I8" s="53">
        <f t="shared" si="1"/>
        <v>74.540970128802414</v>
      </c>
      <c r="J8" s="57">
        <f>I8*19</f>
        <v>1416.2784324472459</v>
      </c>
      <c r="K8" s="111">
        <f>AE24</f>
        <v>306.93340641271578</v>
      </c>
      <c r="L8" s="57">
        <f>J8+K8</f>
        <v>1723.2118388599617</v>
      </c>
    </row>
    <row r="9" spans="1:32" ht="15.95" thickBot="1">
      <c r="A9" s="30" t="s">
        <v>17</v>
      </c>
      <c r="B9" s="61">
        <f>SUM(B4:B8)</f>
        <v>11</v>
      </c>
      <c r="C9" s="61">
        <f>SUM(C4:C8)</f>
        <v>5</v>
      </c>
      <c r="D9" s="61">
        <f>SUM(D4:D8)</f>
        <v>4</v>
      </c>
      <c r="E9" s="62">
        <f>SUM(E4:E8)</f>
        <v>5</v>
      </c>
      <c r="F9" s="52">
        <f>SUM(F4:F8)</f>
        <v>105</v>
      </c>
      <c r="G9" s="63">
        <f t="shared" ref="G9" si="2">(F9*8*26)/1.8245</f>
        <v>11970.402850095918</v>
      </c>
      <c r="H9" s="63">
        <f>SUM(H4:H8)</f>
        <v>2992.6007125239794</v>
      </c>
      <c r="I9" s="63">
        <f t="shared" ref="I9" si="3">SUM(I4:I8)</f>
        <v>460.4001096190737</v>
      </c>
      <c r="L9" s="57">
        <f>SUM(L4:L8)</f>
        <v>11115.374075089067</v>
      </c>
      <c r="M9" s="71">
        <f>P6/G9</f>
        <v>0.92857142857142849</v>
      </c>
    </row>
    <row r="10" spans="1:32" ht="18.95" thickBot="1">
      <c r="A10" s="78"/>
      <c r="B10" s="79"/>
      <c r="C10" s="79"/>
      <c r="D10" s="79"/>
      <c r="E10" s="79"/>
      <c r="F10" s="80"/>
      <c r="G10" s="81"/>
      <c r="H10" s="82"/>
      <c r="I10" s="82"/>
      <c r="J10" s="83"/>
      <c r="K10" s="83"/>
      <c r="L10" s="83"/>
      <c r="M10" s="83"/>
      <c r="N10" s="84"/>
      <c r="O10" s="85"/>
    </row>
    <row r="11" spans="1:32" ht="21.6" thickBot="1">
      <c r="A11" s="77"/>
      <c r="B11" s="192" t="s">
        <v>12</v>
      </c>
      <c r="C11" s="193"/>
      <c r="D11" s="193"/>
      <c r="E11" s="193"/>
      <c r="F11" s="193"/>
      <c r="G11" s="193"/>
      <c r="H11" s="192" t="s">
        <v>20</v>
      </c>
      <c r="I11" s="193"/>
      <c r="J11" s="193"/>
      <c r="K11" s="193"/>
      <c r="L11" s="193"/>
      <c r="M11" s="194"/>
      <c r="N11" s="192" t="s">
        <v>14</v>
      </c>
      <c r="O11" s="193"/>
      <c r="P11" s="193"/>
      <c r="Q11" s="193"/>
      <c r="R11" s="193"/>
      <c r="S11" s="194"/>
      <c r="T11" s="192" t="s">
        <v>15</v>
      </c>
      <c r="U11" s="193"/>
      <c r="V11" s="193"/>
      <c r="W11" s="193"/>
      <c r="X11" s="193"/>
      <c r="Y11" s="194"/>
      <c r="Z11" s="192" t="s">
        <v>16</v>
      </c>
      <c r="AA11" s="193"/>
      <c r="AB11" s="193"/>
      <c r="AC11" s="193"/>
      <c r="AD11" s="193"/>
      <c r="AE11" s="194"/>
      <c r="AF11" s="201" t="s">
        <v>17</v>
      </c>
    </row>
    <row r="12" spans="1:32" ht="21.6" customHeight="1" thickBot="1">
      <c r="B12" s="203" t="s">
        <v>2</v>
      </c>
      <c r="C12" s="204"/>
      <c r="D12" s="204"/>
      <c r="E12" s="204"/>
      <c r="F12" s="205" t="s">
        <v>103</v>
      </c>
      <c r="G12" s="206" t="s">
        <v>104</v>
      </c>
      <c r="H12" s="203" t="s">
        <v>2</v>
      </c>
      <c r="I12" s="204"/>
      <c r="J12" s="204"/>
      <c r="K12" s="204"/>
      <c r="L12" s="205" t="s">
        <v>103</v>
      </c>
      <c r="M12" s="206" t="s">
        <v>104</v>
      </c>
      <c r="N12" s="195" t="s">
        <v>2</v>
      </c>
      <c r="O12" s="196"/>
      <c r="P12" s="196"/>
      <c r="Q12" s="196"/>
      <c r="R12" s="197" t="s">
        <v>103</v>
      </c>
      <c r="S12" s="199" t="s">
        <v>104</v>
      </c>
      <c r="T12" s="195" t="s">
        <v>2</v>
      </c>
      <c r="U12" s="196"/>
      <c r="V12" s="196"/>
      <c r="W12" s="196"/>
      <c r="X12" s="197" t="s">
        <v>103</v>
      </c>
      <c r="Y12" s="199" t="s">
        <v>104</v>
      </c>
      <c r="Z12" s="195" t="s">
        <v>2</v>
      </c>
      <c r="AA12" s="196"/>
      <c r="AB12" s="196"/>
      <c r="AC12" s="196"/>
      <c r="AD12" s="197" t="s">
        <v>103</v>
      </c>
      <c r="AE12" s="199" t="s">
        <v>104</v>
      </c>
      <c r="AF12" s="202"/>
    </row>
    <row r="13" spans="1:32" ht="21.6" customHeight="1" thickBot="1">
      <c r="A13" s="33" t="s">
        <v>19</v>
      </c>
      <c r="B13" s="73" t="s">
        <v>8</v>
      </c>
      <c r="C13" s="74" t="s">
        <v>9</v>
      </c>
      <c r="D13" s="74" t="s">
        <v>10</v>
      </c>
      <c r="E13" s="75" t="s">
        <v>11</v>
      </c>
      <c r="F13" s="198"/>
      <c r="G13" s="200"/>
      <c r="H13" s="73" t="s">
        <v>8</v>
      </c>
      <c r="I13" s="74" t="s">
        <v>9</v>
      </c>
      <c r="J13" s="74" t="s">
        <v>10</v>
      </c>
      <c r="K13" s="75" t="s">
        <v>11</v>
      </c>
      <c r="L13" s="198"/>
      <c r="M13" s="200"/>
      <c r="N13" s="73" t="s">
        <v>8</v>
      </c>
      <c r="O13" s="74" t="s">
        <v>9</v>
      </c>
      <c r="P13" s="74" t="s">
        <v>10</v>
      </c>
      <c r="Q13" s="75" t="s">
        <v>11</v>
      </c>
      <c r="R13" s="198"/>
      <c r="S13" s="200"/>
      <c r="T13" s="73" t="s">
        <v>8</v>
      </c>
      <c r="U13" s="74" t="s">
        <v>9</v>
      </c>
      <c r="V13" s="74" t="s">
        <v>10</v>
      </c>
      <c r="W13" s="75" t="s">
        <v>11</v>
      </c>
      <c r="X13" s="198"/>
      <c r="Y13" s="200"/>
      <c r="Z13" s="73" t="s">
        <v>8</v>
      </c>
      <c r="AA13" s="74" t="s">
        <v>9</v>
      </c>
      <c r="AB13" s="74" t="s">
        <v>10</v>
      </c>
      <c r="AC13" s="75" t="s">
        <v>11</v>
      </c>
      <c r="AD13" s="198"/>
      <c r="AE13" s="200"/>
      <c r="AF13" s="202"/>
    </row>
    <row r="14" spans="1:32" ht="15.95" thickBot="1">
      <c r="A14" s="34">
        <v>45799</v>
      </c>
      <c r="B14" s="36"/>
      <c r="C14" s="37"/>
      <c r="D14" s="37"/>
      <c r="E14" s="38"/>
      <c r="F14" s="64">
        <f t="shared" ref="F14:F23" si="4">(B14*4)+(C14*6)+(D14*4)+(E14*3)</f>
        <v>0</v>
      </c>
      <c r="G14" s="65">
        <f t="shared" ref="G14" si="5">(F14*8)/1.8245</f>
        <v>0</v>
      </c>
      <c r="H14" s="36">
        <v>2</v>
      </c>
      <c r="I14" s="37">
        <v>1</v>
      </c>
      <c r="J14" s="37"/>
      <c r="K14" s="38"/>
      <c r="L14" s="64">
        <f t="shared" ref="L14:L23" si="6">(H14*4)+(I14*6)+(J14*4)+(K14*3)</f>
        <v>14</v>
      </c>
      <c r="M14" s="65">
        <f t="shared" ref="M14" si="7">(L14*8)/1.8245</f>
        <v>61.386681282543165</v>
      </c>
      <c r="N14" s="36">
        <v>2</v>
      </c>
      <c r="O14" s="37">
        <v>1</v>
      </c>
      <c r="P14" s="37"/>
      <c r="Q14" s="38"/>
      <c r="R14" s="64">
        <f t="shared" ref="R14:R23" si="8">(N14*4)+(O14*6)+(P14*4)+(Q14*3)</f>
        <v>14</v>
      </c>
      <c r="S14" s="65">
        <f t="shared" ref="S14:S23" si="9">(R14*8)/1.8245</f>
        <v>61.386681282543165</v>
      </c>
      <c r="T14" s="36"/>
      <c r="U14" s="37"/>
      <c r="V14" s="37"/>
      <c r="W14" s="38"/>
      <c r="X14" s="64">
        <f t="shared" ref="X14:X23" si="10">(T14*4)+(U14*6)+(V14*4)+(W14*3)</f>
        <v>0</v>
      </c>
      <c r="Y14" s="65">
        <f t="shared" ref="Y14:Y23" si="11">(X14*8)/1.8245</f>
        <v>0</v>
      </c>
      <c r="Z14" s="36">
        <v>1</v>
      </c>
      <c r="AA14" s="37"/>
      <c r="AB14" s="37"/>
      <c r="AC14" s="38"/>
      <c r="AD14" s="64">
        <f t="shared" ref="AD14:AD23" si="12">(Z14*4)+(AA14*6)+(AB14*4)+(AC14*3)</f>
        <v>4</v>
      </c>
      <c r="AE14" s="66">
        <f t="shared" ref="AE14:AE23" si="13">(AD14*8)/1.8245</f>
        <v>17.53905179501233</v>
      </c>
      <c r="AF14" s="76">
        <f t="shared" ref="AF14:AF23" si="14">G14+M14+AE14+S14+Y14</f>
        <v>140.31241436009867</v>
      </c>
    </row>
    <row r="15" spans="1:32" ht="15.95" thickBot="1">
      <c r="A15" s="34">
        <v>45800</v>
      </c>
      <c r="B15" s="40">
        <v>1</v>
      </c>
      <c r="C15" s="39"/>
      <c r="D15" s="39"/>
      <c r="E15" s="41"/>
      <c r="F15" s="64">
        <f t="shared" si="4"/>
        <v>4</v>
      </c>
      <c r="G15" s="65">
        <f>(F15*8)/1.8245</f>
        <v>17.53905179501233</v>
      </c>
      <c r="H15" s="40">
        <v>2</v>
      </c>
      <c r="I15" s="39">
        <v>1</v>
      </c>
      <c r="J15" s="39"/>
      <c r="K15" s="41">
        <v>1</v>
      </c>
      <c r="L15" s="64">
        <f t="shared" si="6"/>
        <v>17</v>
      </c>
      <c r="M15" s="65">
        <f>(L15*8)/1.8245</f>
        <v>74.540970128802414</v>
      </c>
      <c r="N15" s="40">
        <v>1</v>
      </c>
      <c r="O15" s="39">
        <v>1</v>
      </c>
      <c r="P15" s="39"/>
      <c r="Q15" s="41">
        <v>1</v>
      </c>
      <c r="R15" s="64">
        <f t="shared" si="8"/>
        <v>13</v>
      </c>
      <c r="S15" s="65">
        <f t="shared" si="9"/>
        <v>57.00191833379008</v>
      </c>
      <c r="T15" s="40"/>
      <c r="U15" s="39"/>
      <c r="V15" s="39">
        <v>1</v>
      </c>
      <c r="W15" s="41"/>
      <c r="X15" s="64">
        <f t="shared" si="10"/>
        <v>4</v>
      </c>
      <c r="Y15" s="65">
        <f t="shared" si="11"/>
        <v>17.53905179501233</v>
      </c>
      <c r="Z15" s="40">
        <v>2</v>
      </c>
      <c r="AA15" s="39">
        <v>1</v>
      </c>
      <c r="AB15" s="39"/>
      <c r="AC15" s="41"/>
      <c r="AD15" s="64">
        <f t="shared" si="12"/>
        <v>14</v>
      </c>
      <c r="AE15" s="66">
        <f t="shared" si="13"/>
        <v>61.386681282543165</v>
      </c>
      <c r="AF15" s="76">
        <f t="shared" si="14"/>
        <v>228.00767333516035</v>
      </c>
    </row>
    <row r="16" spans="1:32" ht="15.95" thickBot="1">
      <c r="A16" s="34">
        <v>45801</v>
      </c>
      <c r="B16" s="40">
        <v>3</v>
      </c>
      <c r="C16" s="39">
        <v>1</v>
      </c>
      <c r="D16" s="39">
        <v>1</v>
      </c>
      <c r="E16" s="41">
        <v>1</v>
      </c>
      <c r="F16" s="64">
        <f t="shared" si="4"/>
        <v>25</v>
      </c>
      <c r="G16" s="65">
        <f t="shared" ref="G16:G18" si="15">(F16*8)/1.8245</f>
        <v>109.61907371882708</v>
      </c>
      <c r="H16" s="40">
        <v>2</v>
      </c>
      <c r="I16" s="39">
        <v>1</v>
      </c>
      <c r="J16" s="39"/>
      <c r="K16" s="41">
        <v>1</v>
      </c>
      <c r="L16" s="64">
        <f t="shared" si="6"/>
        <v>17</v>
      </c>
      <c r="M16" s="65">
        <f t="shared" ref="M16:M18" si="16">(L16*8)/1.8245</f>
        <v>74.540970128802414</v>
      </c>
      <c r="N16" s="40">
        <v>1</v>
      </c>
      <c r="O16" s="39">
        <v>1</v>
      </c>
      <c r="P16" s="39"/>
      <c r="Q16" s="41"/>
      <c r="R16" s="64">
        <f t="shared" si="8"/>
        <v>10</v>
      </c>
      <c r="S16" s="65">
        <f t="shared" si="9"/>
        <v>43.847629487530831</v>
      </c>
      <c r="T16" s="40"/>
      <c r="U16" s="39"/>
      <c r="V16" s="39"/>
      <c r="W16" s="41"/>
      <c r="X16" s="64">
        <f t="shared" si="10"/>
        <v>0</v>
      </c>
      <c r="Y16" s="65">
        <f t="shared" si="11"/>
        <v>0</v>
      </c>
      <c r="Z16" s="40">
        <v>1</v>
      </c>
      <c r="AA16" s="39"/>
      <c r="AB16" s="39">
        <v>1</v>
      </c>
      <c r="AC16" s="41"/>
      <c r="AD16" s="64">
        <f t="shared" si="12"/>
        <v>8</v>
      </c>
      <c r="AE16" s="66">
        <f t="shared" si="13"/>
        <v>35.078103590024661</v>
      </c>
      <c r="AF16" s="76">
        <f t="shared" si="14"/>
        <v>263.08577692518497</v>
      </c>
    </row>
    <row r="17" spans="1:32" ht="15.95" thickBot="1">
      <c r="A17" s="34">
        <v>45802</v>
      </c>
      <c r="B17" s="40">
        <v>1</v>
      </c>
      <c r="C17" s="39">
        <v>1</v>
      </c>
      <c r="D17" s="39"/>
      <c r="E17" s="41">
        <v>1</v>
      </c>
      <c r="F17" s="64">
        <f t="shared" si="4"/>
        <v>13</v>
      </c>
      <c r="G17" s="65">
        <f t="shared" si="15"/>
        <v>57.00191833379008</v>
      </c>
      <c r="H17" s="40"/>
      <c r="I17" s="39"/>
      <c r="J17" s="39"/>
      <c r="K17" s="41"/>
      <c r="L17" s="64">
        <f t="shared" si="6"/>
        <v>0</v>
      </c>
      <c r="M17" s="65">
        <f t="shared" si="16"/>
        <v>0</v>
      </c>
      <c r="N17" s="40"/>
      <c r="O17" s="39"/>
      <c r="P17" s="39"/>
      <c r="Q17" s="41"/>
      <c r="R17" s="64">
        <f t="shared" si="8"/>
        <v>0</v>
      </c>
      <c r="S17" s="65">
        <f t="shared" si="9"/>
        <v>0</v>
      </c>
      <c r="T17" s="40"/>
      <c r="U17" s="39"/>
      <c r="V17" s="39"/>
      <c r="W17" s="41"/>
      <c r="X17" s="64">
        <f t="shared" si="10"/>
        <v>0</v>
      </c>
      <c r="Y17" s="65">
        <f t="shared" si="11"/>
        <v>0</v>
      </c>
      <c r="Z17" s="40"/>
      <c r="AA17" s="39"/>
      <c r="AB17" s="39"/>
      <c r="AC17" s="41"/>
      <c r="AD17" s="64">
        <f t="shared" si="12"/>
        <v>0</v>
      </c>
      <c r="AE17" s="66">
        <f t="shared" si="13"/>
        <v>0</v>
      </c>
      <c r="AF17" s="76">
        <f t="shared" si="14"/>
        <v>57.00191833379008</v>
      </c>
    </row>
    <row r="18" spans="1:32" ht="15.95" thickBot="1">
      <c r="A18" s="34">
        <v>45803</v>
      </c>
      <c r="B18" s="42">
        <v>1</v>
      </c>
      <c r="C18" s="43">
        <v>1</v>
      </c>
      <c r="D18" s="43"/>
      <c r="E18" s="44"/>
      <c r="F18" s="64">
        <f t="shared" si="4"/>
        <v>10</v>
      </c>
      <c r="G18" s="65">
        <f t="shared" si="15"/>
        <v>43.847629487530831</v>
      </c>
      <c r="H18" s="42">
        <v>2</v>
      </c>
      <c r="I18" s="43">
        <v>1</v>
      </c>
      <c r="J18" s="43"/>
      <c r="K18" s="44">
        <v>1</v>
      </c>
      <c r="L18" s="64">
        <f t="shared" si="6"/>
        <v>17</v>
      </c>
      <c r="M18" s="65">
        <f t="shared" si="16"/>
        <v>74.540970128802414</v>
      </c>
      <c r="N18" s="42">
        <v>1</v>
      </c>
      <c r="O18" s="43">
        <v>1</v>
      </c>
      <c r="P18" s="43"/>
      <c r="Q18" s="44">
        <v>1</v>
      </c>
      <c r="R18" s="64">
        <f t="shared" si="8"/>
        <v>13</v>
      </c>
      <c r="S18" s="65">
        <f t="shared" si="9"/>
        <v>57.00191833379008</v>
      </c>
      <c r="T18" s="42"/>
      <c r="U18" s="43"/>
      <c r="V18" s="43"/>
      <c r="W18" s="44"/>
      <c r="X18" s="64">
        <f t="shared" si="10"/>
        <v>0</v>
      </c>
      <c r="Y18" s="65">
        <f t="shared" si="11"/>
        <v>0</v>
      </c>
      <c r="Z18" s="42"/>
      <c r="AA18" s="43"/>
      <c r="AB18" s="43"/>
      <c r="AC18" s="44"/>
      <c r="AD18" s="64">
        <f t="shared" si="12"/>
        <v>0</v>
      </c>
      <c r="AE18" s="66">
        <f t="shared" si="13"/>
        <v>0</v>
      </c>
      <c r="AF18" s="76">
        <f t="shared" si="14"/>
        <v>175.39051795012332</v>
      </c>
    </row>
    <row r="19" spans="1:32" ht="15.95" thickBot="1">
      <c r="A19" s="34">
        <v>45804</v>
      </c>
      <c r="B19" s="42">
        <v>2</v>
      </c>
      <c r="C19" s="43">
        <v>1</v>
      </c>
      <c r="D19" s="43">
        <v>1</v>
      </c>
      <c r="E19" s="44">
        <v>1</v>
      </c>
      <c r="F19" s="64">
        <f t="shared" si="4"/>
        <v>21</v>
      </c>
      <c r="G19" s="65">
        <f>(F19*8)/1.8245</f>
        <v>92.080021923814741</v>
      </c>
      <c r="H19" s="42">
        <v>2</v>
      </c>
      <c r="I19" s="43">
        <v>1</v>
      </c>
      <c r="J19" s="43"/>
      <c r="K19" s="44"/>
      <c r="L19" s="64">
        <f t="shared" si="6"/>
        <v>14</v>
      </c>
      <c r="M19" s="65">
        <f>(L19*8)/1.8245</f>
        <v>61.386681282543165</v>
      </c>
      <c r="N19" s="42">
        <v>1</v>
      </c>
      <c r="O19" s="43">
        <v>1</v>
      </c>
      <c r="P19" s="43"/>
      <c r="Q19" s="44">
        <v>1</v>
      </c>
      <c r="R19" s="64">
        <f t="shared" si="8"/>
        <v>13</v>
      </c>
      <c r="S19" s="65">
        <f t="shared" si="9"/>
        <v>57.00191833379008</v>
      </c>
      <c r="T19" s="42">
        <v>1</v>
      </c>
      <c r="U19" s="43">
        <v>1</v>
      </c>
      <c r="V19" s="43"/>
      <c r="W19" s="44">
        <v>1</v>
      </c>
      <c r="X19" s="64">
        <f t="shared" si="10"/>
        <v>13</v>
      </c>
      <c r="Y19" s="65">
        <f t="shared" si="11"/>
        <v>57.00191833379008</v>
      </c>
      <c r="Z19" s="42">
        <v>2</v>
      </c>
      <c r="AA19" s="43"/>
      <c r="AB19" s="43"/>
      <c r="AC19" s="44"/>
      <c r="AD19" s="64">
        <f t="shared" si="12"/>
        <v>8</v>
      </c>
      <c r="AE19" s="66">
        <f t="shared" si="13"/>
        <v>35.078103590024661</v>
      </c>
      <c r="AF19" s="76">
        <f t="shared" si="14"/>
        <v>302.54864346396272</v>
      </c>
    </row>
    <row r="20" spans="1:32" ht="15.95" thickBot="1">
      <c r="A20" s="34">
        <v>45805</v>
      </c>
      <c r="B20" s="42">
        <v>1</v>
      </c>
      <c r="C20" s="43">
        <v>1</v>
      </c>
      <c r="D20" s="43"/>
      <c r="E20" s="44">
        <v>1</v>
      </c>
      <c r="F20" s="64">
        <f t="shared" si="4"/>
        <v>13</v>
      </c>
      <c r="G20" s="65">
        <f>(F20*8)/1.8245</f>
        <v>57.00191833379008</v>
      </c>
      <c r="H20" s="42">
        <v>2</v>
      </c>
      <c r="I20" s="43">
        <v>1</v>
      </c>
      <c r="J20" s="43"/>
      <c r="K20" s="44">
        <v>1</v>
      </c>
      <c r="L20" s="64">
        <f t="shared" si="6"/>
        <v>17</v>
      </c>
      <c r="M20" s="65">
        <f>(L20*8)/1.8245</f>
        <v>74.540970128802414</v>
      </c>
      <c r="N20" s="42">
        <v>2</v>
      </c>
      <c r="O20" s="43">
        <v>1</v>
      </c>
      <c r="P20" s="43"/>
      <c r="Q20" s="44"/>
      <c r="R20" s="64">
        <f t="shared" si="8"/>
        <v>14</v>
      </c>
      <c r="S20" s="65">
        <f t="shared" si="9"/>
        <v>61.386681282543165</v>
      </c>
      <c r="T20" s="42">
        <v>2</v>
      </c>
      <c r="U20" s="43"/>
      <c r="V20" s="43">
        <v>1</v>
      </c>
      <c r="W20" s="44"/>
      <c r="X20" s="64">
        <f t="shared" si="10"/>
        <v>12</v>
      </c>
      <c r="Y20" s="65">
        <f t="shared" si="11"/>
        <v>52.617155385036995</v>
      </c>
      <c r="Z20" s="42">
        <v>2</v>
      </c>
      <c r="AA20" s="43">
        <v>1</v>
      </c>
      <c r="AB20" s="43"/>
      <c r="AC20" s="44"/>
      <c r="AD20" s="64">
        <f t="shared" si="12"/>
        <v>14</v>
      </c>
      <c r="AE20" s="66">
        <f t="shared" si="13"/>
        <v>61.386681282543165</v>
      </c>
      <c r="AF20" s="76">
        <f t="shared" si="14"/>
        <v>306.93340641271584</v>
      </c>
    </row>
    <row r="21" spans="1:32" ht="15.95" thickBot="1">
      <c r="A21" s="34">
        <v>45806</v>
      </c>
      <c r="B21" s="42">
        <v>1</v>
      </c>
      <c r="C21" s="43"/>
      <c r="D21" s="43"/>
      <c r="E21" s="44"/>
      <c r="F21" s="64">
        <f t="shared" si="4"/>
        <v>4</v>
      </c>
      <c r="G21" s="65">
        <f>(F21*8)/1.8245</f>
        <v>17.53905179501233</v>
      </c>
      <c r="H21" s="42">
        <v>2</v>
      </c>
      <c r="I21" s="43">
        <v>1</v>
      </c>
      <c r="J21" s="43"/>
      <c r="K21" s="44">
        <v>1</v>
      </c>
      <c r="L21" s="64">
        <f t="shared" si="6"/>
        <v>17</v>
      </c>
      <c r="M21" s="65">
        <f>(L21*8)/1.8245</f>
        <v>74.540970128802414</v>
      </c>
      <c r="N21" s="42">
        <v>2</v>
      </c>
      <c r="O21" s="43">
        <v>1</v>
      </c>
      <c r="P21" s="43"/>
      <c r="Q21" s="44"/>
      <c r="R21" s="64">
        <f t="shared" si="8"/>
        <v>14</v>
      </c>
      <c r="S21" s="65">
        <f t="shared" si="9"/>
        <v>61.386681282543165</v>
      </c>
      <c r="T21" s="42">
        <v>2</v>
      </c>
      <c r="U21" s="43"/>
      <c r="V21" s="43">
        <v>1</v>
      </c>
      <c r="W21" s="44">
        <v>1</v>
      </c>
      <c r="X21" s="64">
        <f t="shared" si="10"/>
        <v>15</v>
      </c>
      <c r="Y21" s="65">
        <f t="shared" si="11"/>
        <v>65.771444231296243</v>
      </c>
      <c r="Z21" s="42"/>
      <c r="AA21" s="43"/>
      <c r="AB21" s="43"/>
      <c r="AC21" s="44"/>
      <c r="AD21" s="64">
        <f t="shared" si="12"/>
        <v>0</v>
      </c>
      <c r="AE21" s="66">
        <f t="shared" si="13"/>
        <v>0</v>
      </c>
      <c r="AF21" s="76">
        <f t="shared" si="14"/>
        <v>219.23814743765416</v>
      </c>
    </row>
    <row r="22" spans="1:32" ht="15.95" thickBot="1">
      <c r="A22" s="34">
        <v>45807</v>
      </c>
      <c r="B22" s="42">
        <v>1</v>
      </c>
      <c r="C22" s="43">
        <v>1</v>
      </c>
      <c r="D22" s="43">
        <v>1</v>
      </c>
      <c r="E22" s="44"/>
      <c r="F22" s="64">
        <f t="shared" si="4"/>
        <v>14</v>
      </c>
      <c r="G22" s="65">
        <f>(F22*8)/1.8245</f>
        <v>61.386681282543165</v>
      </c>
      <c r="H22" s="42">
        <v>4</v>
      </c>
      <c r="I22" s="43">
        <v>2</v>
      </c>
      <c r="J22" s="43"/>
      <c r="K22" s="44">
        <v>2</v>
      </c>
      <c r="L22" s="64">
        <f t="shared" si="6"/>
        <v>34</v>
      </c>
      <c r="M22" s="65">
        <f>(L22*8)/1.8245</f>
        <v>149.08194025760483</v>
      </c>
      <c r="N22" s="42">
        <v>2</v>
      </c>
      <c r="O22" s="43">
        <v>1</v>
      </c>
      <c r="P22" s="43"/>
      <c r="Q22" s="44"/>
      <c r="R22" s="64">
        <f t="shared" si="8"/>
        <v>14</v>
      </c>
      <c r="S22" s="65">
        <f t="shared" si="9"/>
        <v>61.386681282543165</v>
      </c>
      <c r="T22" s="42">
        <v>2</v>
      </c>
      <c r="U22" s="43"/>
      <c r="V22" s="43">
        <v>1</v>
      </c>
      <c r="W22" s="44">
        <v>1</v>
      </c>
      <c r="X22" s="64">
        <f t="shared" si="10"/>
        <v>15</v>
      </c>
      <c r="Y22" s="65">
        <f t="shared" si="11"/>
        <v>65.771444231296243</v>
      </c>
      <c r="Z22" s="42">
        <v>2</v>
      </c>
      <c r="AA22" s="43"/>
      <c r="AB22" s="43"/>
      <c r="AC22" s="44"/>
      <c r="AD22" s="64">
        <f t="shared" si="12"/>
        <v>8</v>
      </c>
      <c r="AE22" s="66">
        <f t="shared" si="13"/>
        <v>35.078103590024661</v>
      </c>
      <c r="AF22" s="76">
        <f t="shared" si="14"/>
        <v>372.70485064401203</v>
      </c>
    </row>
    <row r="23" spans="1:32" ht="15.95" thickBot="1">
      <c r="A23" s="35">
        <v>45808</v>
      </c>
      <c r="B23" s="54">
        <v>2</v>
      </c>
      <c r="C23" s="55">
        <v>1</v>
      </c>
      <c r="D23" s="55">
        <v>1</v>
      </c>
      <c r="E23" s="56">
        <v>1</v>
      </c>
      <c r="F23" s="67">
        <f t="shared" si="4"/>
        <v>21</v>
      </c>
      <c r="G23" s="68">
        <f>(F23*8)/1.8245</f>
        <v>92.080021923814741</v>
      </c>
      <c r="H23" s="54">
        <v>2</v>
      </c>
      <c r="I23" s="55">
        <v>1</v>
      </c>
      <c r="J23" s="55"/>
      <c r="K23" s="56">
        <v>1</v>
      </c>
      <c r="L23" s="67">
        <f t="shared" si="6"/>
        <v>17</v>
      </c>
      <c r="M23" s="68">
        <f>(L23*8)/1.8245</f>
        <v>74.540970128802414</v>
      </c>
      <c r="N23" s="54">
        <v>1</v>
      </c>
      <c r="O23" s="55">
        <v>1</v>
      </c>
      <c r="P23" s="55">
        <v>1</v>
      </c>
      <c r="Q23" s="56">
        <v>1</v>
      </c>
      <c r="R23" s="67">
        <f t="shared" si="8"/>
        <v>17</v>
      </c>
      <c r="S23" s="68">
        <f t="shared" si="9"/>
        <v>74.540970128802414</v>
      </c>
      <c r="T23" s="54"/>
      <c r="U23" s="55"/>
      <c r="V23" s="55"/>
      <c r="W23" s="56"/>
      <c r="X23" s="67">
        <f t="shared" si="10"/>
        <v>0</v>
      </c>
      <c r="Y23" s="68">
        <f t="shared" si="11"/>
        <v>0</v>
      </c>
      <c r="Z23" s="54">
        <v>2</v>
      </c>
      <c r="AA23" s="55">
        <v>1</v>
      </c>
      <c r="AB23" s="55"/>
      <c r="AC23" s="56"/>
      <c r="AD23" s="67">
        <f t="shared" si="12"/>
        <v>14</v>
      </c>
      <c r="AE23" s="69">
        <f t="shared" si="13"/>
        <v>61.386681282543165</v>
      </c>
      <c r="AF23" s="100">
        <f t="shared" si="14"/>
        <v>302.54864346396278</v>
      </c>
    </row>
    <row r="24" spans="1:32">
      <c r="E24" s="98"/>
      <c r="F24" s="98"/>
      <c r="G24" s="82">
        <f>SUM(G14:G23)</f>
        <v>548.09536859413538</v>
      </c>
      <c r="H24" s="98"/>
      <c r="I24" s="98"/>
      <c r="J24" s="98"/>
      <c r="K24" s="98"/>
      <c r="L24" s="98"/>
      <c r="M24" s="82">
        <f>SUM(M14:M23)</f>
        <v>719.10112359550567</v>
      </c>
      <c r="N24" s="98"/>
      <c r="O24" s="98"/>
      <c r="S24" s="111">
        <f>SUM(S14:S23)</f>
        <v>534.94107974787619</v>
      </c>
      <c r="Y24" s="111">
        <f>SUM(Y14:Y23)</f>
        <v>258.70101397643191</v>
      </c>
      <c r="AE24" s="111">
        <f>SUM(AE14:AE23)</f>
        <v>306.93340641271578</v>
      </c>
      <c r="AF24" s="60">
        <f>SUM(AF14:AF23)</f>
        <v>2367.771992326665</v>
      </c>
    </row>
  </sheetData>
  <mergeCells count="26">
    <mergeCell ref="B2:E2"/>
    <mergeCell ref="F2:F3"/>
    <mergeCell ref="G2:G3"/>
    <mergeCell ref="H2:H3"/>
    <mergeCell ref="I2:I3"/>
    <mergeCell ref="B12:E12"/>
    <mergeCell ref="F12:F13"/>
    <mergeCell ref="G12:G13"/>
    <mergeCell ref="B11:G11"/>
    <mergeCell ref="H11:M11"/>
    <mergeCell ref="H12:K12"/>
    <mergeCell ref="L12:L13"/>
    <mergeCell ref="M12:M13"/>
    <mergeCell ref="T11:Y11"/>
    <mergeCell ref="N12:Q12"/>
    <mergeCell ref="R12:R13"/>
    <mergeCell ref="S12:S13"/>
    <mergeCell ref="T12:W12"/>
    <mergeCell ref="X12:X13"/>
    <mergeCell ref="Y12:Y13"/>
    <mergeCell ref="N11:S11"/>
    <mergeCell ref="Z11:AE11"/>
    <mergeCell ref="Z12:AC12"/>
    <mergeCell ref="AD12:AD13"/>
    <mergeCell ref="AE12:AE13"/>
    <mergeCell ref="AF11:AF13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7957-81C1-4CD6-A62A-ECA644ED0DC8}">
  <dimension ref="A1:AF98"/>
  <sheetViews>
    <sheetView topLeftCell="A16" zoomScale="85" zoomScaleNormal="85" workbookViewId="0">
      <pane xSplit="1" topLeftCell="B1" activePane="topRight" state="frozen"/>
      <selection pane="topRight" activeCell="K86" sqref="K86"/>
    </sheetView>
  </sheetViews>
  <sheetFormatPr defaultColWidth="8.7109375" defaultRowHeight="15.6"/>
  <cols>
    <col min="1" max="1" width="24.5703125" style="32" customWidth="1"/>
    <col min="2" max="2" width="9.140625" style="31" bestFit="1" customWidth="1"/>
    <col min="3" max="3" width="12.140625" style="31" customWidth="1"/>
    <col min="4" max="4" width="22.42578125" style="31" customWidth="1"/>
    <col min="5" max="5" width="10.85546875" style="31" bestFit="1" customWidth="1"/>
    <col min="6" max="6" width="11.85546875" style="31" customWidth="1"/>
    <col min="7" max="7" width="12.42578125" style="31" customWidth="1"/>
    <col min="8" max="8" width="11.85546875" style="31" customWidth="1"/>
    <col min="9" max="9" width="11.5703125" style="31" customWidth="1"/>
    <col min="10" max="11" width="8.7109375" style="31" bestFit="1"/>
    <col min="12" max="12" width="13.85546875" style="31" customWidth="1"/>
    <col min="13" max="13" width="10.42578125" style="31" customWidth="1"/>
    <col min="14" max="14" width="11.140625" style="31" customWidth="1"/>
    <col min="15" max="15" width="12.5703125" style="31" customWidth="1"/>
    <col min="16" max="16" width="9.85546875" style="31" customWidth="1"/>
    <col min="17" max="17" width="8.7109375" style="31" bestFit="1"/>
    <col min="18" max="18" width="10.85546875" style="31" customWidth="1"/>
    <col min="19" max="19" width="10.5703125" style="31" customWidth="1"/>
    <col min="20" max="23" width="8.7109375" style="31" bestFit="1"/>
    <col min="24" max="24" width="10.5703125" style="31" customWidth="1"/>
    <col min="25" max="25" width="9.140625" style="31" customWidth="1"/>
    <col min="26" max="29" width="8.7109375" style="31" bestFit="1"/>
    <col min="30" max="30" width="11.28515625" style="31" customWidth="1"/>
    <col min="31" max="31" width="9.85546875" style="31" customWidth="1"/>
    <col min="32" max="32" width="14.85546875" style="59" customWidth="1"/>
    <col min="33" max="16384" width="8.7109375" style="31"/>
  </cols>
  <sheetData>
    <row r="1" spans="1:32" ht="15.95" thickBot="1">
      <c r="A1" s="45" t="s">
        <v>0</v>
      </c>
    </row>
    <row r="2" spans="1:32" ht="22.5" customHeight="1" thickBot="1">
      <c r="A2" s="25" t="s">
        <v>33</v>
      </c>
      <c r="B2" s="177" t="s">
        <v>2</v>
      </c>
      <c r="C2" s="178"/>
      <c r="D2" s="178"/>
      <c r="E2" s="178"/>
      <c r="F2" s="181" t="s">
        <v>3</v>
      </c>
      <c r="G2" s="179" t="s">
        <v>4</v>
      </c>
      <c r="H2" s="181" t="s">
        <v>5</v>
      </c>
      <c r="I2" s="181" t="s">
        <v>6</v>
      </c>
    </row>
    <row r="3" spans="1:32" ht="23.45" customHeight="1">
      <c r="A3" s="26" t="s">
        <v>7</v>
      </c>
      <c r="B3" s="124" t="s">
        <v>8</v>
      </c>
      <c r="C3" s="125" t="s">
        <v>9</v>
      </c>
      <c r="D3" s="125" t="s">
        <v>10</v>
      </c>
      <c r="E3" s="126" t="s">
        <v>11</v>
      </c>
      <c r="F3" s="208"/>
      <c r="G3" s="209"/>
      <c r="H3" s="208"/>
      <c r="I3" s="208"/>
      <c r="L3" s="72" t="s">
        <v>105</v>
      </c>
    </row>
    <row r="4" spans="1:32">
      <c r="A4" s="120" t="s">
        <v>12</v>
      </c>
      <c r="B4" s="121">
        <v>3</v>
      </c>
      <c r="C4" s="8">
        <v>1</v>
      </c>
      <c r="D4" s="8">
        <v>1</v>
      </c>
      <c r="E4" s="8">
        <v>1</v>
      </c>
      <c r="F4" s="122">
        <f>(B4*4)+(C4*6)+(D4*4)+(E4*3)</f>
        <v>25</v>
      </c>
      <c r="G4" s="123">
        <f>($F4*8*26)/1.8245</f>
        <v>2850.0959166895041</v>
      </c>
      <c r="H4" s="20">
        <f>G4/4</f>
        <v>712.52397917237602</v>
      </c>
      <c r="I4" s="123">
        <f>($F4*8)/1.8245</f>
        <v>109.61907371882708</v>
      </c>
      <c r="J4" s="130">
        <f>M4/G4</f>
        <v>0.29846153846153844</v>
      </c>
      <c r="L4" s="31" t="s">
        <v>12</v>
      </c>
      <c r="M4" s="111">
        <f>SUM(G16:G45)</f>
        <v>850.64401205809816</v>
      </c>
      <c r="O4" s="57"/>
    </row>
    <row r="5" spans="1:32">
      <c r="A5" s="120" t="s">
        <v>13</v>
      </c>
      <c r="B5" s="127">
        <v>2</v>
      </c>
      <c r="C5" s="7">
        <v>1</v>
      </c>
      <c r="D5" s="8">
        <v>1</v>
      </c>
      <c r="E5" s="7">
        <v>1</v>
      </c>
      <c r="F5" s="122">
        <f>(B5*4)+(C5*6)+(D5*4)+(E5*3)</f>
        <v>21</v>
      </c>
      <c r="G5" s="123">
        <f>($F5*8*26)/1.8245</f>
        <v>2394.0805700191831</v>
      </c>
      <c r="H5" s="20">
        <f>G5/4</f>
        <v>598.52014250479579</v>
      </c>
      <c r="I5" s="123">
        <f>($F5*8)/1.8245</f>
        <v>92.080021923814741</v>
      </c>
      <c r="J5" s="130">
        <f t="shared" ref="J5:J8" si="0">M5/G5</f>
        <v>0.57326007326007333</v>
      </c>
      <c r="L5" s="31" t="s">
        <v>20</v>
      </c>
      <c r="M5" s="111">
        <f>SUM(M16:M45)</f>
        <v>1372.430802959715</v>
      </c>
      <c r="O5" s="57"/>
    </row>
    <row r="6" spans="1:32">
      <c r="A6" s="120" t="s">
        <v>14</v>
      </c>
      <c r="B6" s="121">
        <v>2</v>
      </c>
      <c r="C6" s="8">
        <v>1</v>
      </c>
      <c r="D6" s="8">
        <v>1</v>
      </c>
      <c r="E6" s="8">
        <v>1</v>
      </c>
      <c r="F6" s="122">
        <f>(B6*4)+(C6*6)+(D6*4)+(E6*3)</f>
        <v>21</v>
      </c>
      <c r="G6" s="123">
        <f>($F6*8*26)/1.8245</f>
        <v>2394.0805700191831</v>
      </c>
      <c r="H6" s="20">
        <f>G6/4</f>
        <v>598.52014250479579</v>
      </c>
      <c r="I6" s="123">
        <f>($F6*8)/1.8245</f>
        <v>92.080021923814741</v>
      </c>
      <c r="J6" s="130">
        <f t="shared" si="0"/>
        <v>0.55128205128205132</v>
      </c>
      <c r="L6" s="31" t="s">
        <v>14</v>
      </c>
      <c r="M6" s="111">
        <f>SUM(S16:S45)</f>
        <v>1319.813647574678</v>
      </c>
      <c r="O6" s="58"/>
    </row>
    <row r="7" spans="1:32">
      <c r="A7" s="120" t="s">
        <v>15</v>
      </c>
      <c r="B7" s="127">
        <v>2</v>
      </c>
      <c r="C7" s="12">
        <v>1</v>
      </c>
      <c r="D7" s="8">
        <v>1</v>
      </c>
      <c r="E7" s="8">
        <v>1</v>
      </c>
      <c r="F7" s="122">
        <f>(B7*4)+(C7*6)+(D7*4)+(E7*3)</f>
        <v>21</v>
      </c>
      <c r="G7" s="123">
        <f>($F7*8*26)/1.8245</f>
        <v>2394.0805700191831</v>
      </c>
      <c r="H7" s="20">
        <f>G7/4</f>
        <v>598.52014250479579</v>
      </c>
      <c r="I7" s="123">
        <f>($F7*8)/1.8245</f>
        <v>92.080021923814741</v>
      </c>
      <c r="J7" s="130">
        <f t="shared" si="0"/>
        <v>0.42673992673992678</v>
      </c>
      <c r="L7" s="31" t="s">
        <v>15</v>
      </c>
      <c r="M7" s="111">
        <f>SUM(Y16:Y45)</f>
        <v>1021.6497670594683</v>
      </c>
      <c r="O7" s="101"/>
    </row>
    <row r="8" spans="1:32">
      <c r="A8" s="120" t="s">
        <v>16</v>
      </c>
      <c r="B8" s="121">
        <v>2</v>
      </c>
      <c r="C8" s="8">
        <v>1</v>
      </c>
      <c r="D8" s="8"/>
      <c r="E8" s="8">
        <v>1</v>
      </c>
      <c r="F8" s="122">
        <f>(B8*4)+(C8*6)+(D8*4)+(E8*3)</f>
        <v>17</v>
      </c>
      <c r="G8" s="123">
        <f>($F8*8*26)/1.8245</f>
        <v>1938.0652233488627</v>
      </c>
      <c r="H8" s="20">
        <f>G8/4</f>
        <v>484.51630583721567</v>
      </c>
      <c r="I8" s="123">
        <f>($F8*8)/1.8245</f>
        <v>74.540970128802414</v>
      </c>
      <c r="J8" s="130">
        <f t="shared" si="0"/>
        <v>0.67194570135746601</v>
      </c>
      <c r="L8" s="31" t="s">
        <v>16</v>
      </c>
      <c r="M8" s="111">
        <f>SUM(AE16:AE45)</f>
        <v>1302.2745957796656</v>
      </c>
      <c r="N8" s="132" t="s">
        <v>46</v>
      </c>
      <c r="O8" s="132" t="s">
        <v>106</v>
      </c>
    </row>
    <row r="9" spans="1:32">
      <c r="A9" s="120" t="s">
        <v>107</v>
      </c>
      <c r="B9" s="128">
        <v>1</v>
      </c>
      <c r="C9" s="12"/>
      <c r="D9" s="12"/>
      <c r="E9" s="12"/>
      <c r="F9" s="122">
        <f t="shared" ref="F9:F10" si="1">(B9*4)+(C9*6)+(D9*4)+(E9*3)</f>
        <v>4</v>
      </c>
      <c r="G9" s="123">
        <f t="shared" ref="G9:G10" si="2">($F9*8*26)/1.8245</f>
        <v>456.01534667032064</v>
      </c>
      <c r="H9" s="20">
        <f t="shared" ref="H9:H10" si="3">G9/4</f>
        <v>114.00383666758016</v>
      </c>
      <c r="I9" s="123">
        <f t="shared" ref="I9:I10" si="4">($F9*8)/1.8245</f>
        <v>17.53905179501233</v>
      </c>
      <c r="L9" s="31" t="s">
        <v>107</v>
      </c>
      <c r="M9" s="131">
        <f>N9+O9</f>
        <v>1582.9029999999998</v>
      </c>
      <c r="N9" s="31">
        <v>407.78300000000002</v>
      </c>
      <c r="O9" s="131">
        <v>1175.1199999999999</v>
      </c>
      <c r="P9" s="131"/>
    </row>
    <row r="10" spans="1:32">
      <c r="A10" s="120" t="s">
        <v>108</v>
      </c>
      <c r="B10" s="128">
        <v>4</v>
      </c>
      <c r="C10" s="12"/>
      <c r="D10" s="12"/>
      <c r="E10" s="12"/>
      <c r="F10" s="122">
        <f t="shared" si="1"/>
        <v>16</v>
      </c>
      <c r="G10" s="123">
        <f t="shared" si="2"/>
        <v>1824.0613866812826</v>
      </c>
      <c r="H10" s="20">
        <f t="shared" si="3"/>
        <v>456.01534667032064</v>
      </c>
      <c r="I10" s="123">
        <f t="shared" si="4"/>
        <v>70.156207180049321</v>
      </c>
      <c r="L10" s="31" t="s">
        <v>108</v>
      </c>
      <c r="M10" s="131">
        <f>N10+O10</f>
        <v>59.625999999999998</v>
      </c>
      <c r="N10" s="31">
        <v>59.625999999999998</v>
      </c>
    </row>
    <row r="11" spans="1:32" ht="15.95" thickBot="1">
      <c r="A11" s="115" t="s">
        <v>17</v>
      </c>
      <c r="B11" s="116">
        <f>SUM(B4:B10)</f>
        <v>16</v>
      </c>
      <c r="C11" s="116">
        <f>SUM(C4:C8)</f>
        <v>5</v>
      </c>
      <c r="D11" s="116">
        <f>SUM(D4:D8)</f>
        <v>4</v>
      </c>
      <c r="E11" s="117">
        <f>SUM(E4:E8)</f>
        <v>5</v>
      </c>
      <c r="F11" s="118">
        <f>SUM(F4:F10)</f>
        <v>125</v>
      </c>
      <c r="G11" s="119">
        <f>(F11*8*26)/1.8245</f>
        <v>14250.479583447519</v>
      </c>
      <c r="H11" s="119">
        <f>SUM(H4:H10)</f>
        <v>3562.6198958618802</v>
      </c>
      <c r="I11" s="119">
        <f>SUM(I4:I8)</f>
        <v>460.4001096190737</v>
      </c>
      <c r="M11" s="129">
        <f>SUM(M4:M8)</f>
        <v>5866.8128254316252</v>
      </c>
    </row>
    <row r="12" spans="1:32" ht="18.95" thickBot="1">
      <c r="A12" s="78"/>
      <c r="B12" s="88"/>
      <c r="C12" s="88"/>
      <c r="D12" s="88"/>
      <c r="E12" s="88"/>
      <c r="F12" s="89"/>
      <c r="G12" s="90">
        <f>SUM(G4:G8)</f>
        <v>11970.402850095918</v>
      </c>
      <c r="H12" s="82" t="s">
        <v>109</v>
      </c>
      <c r="I12" s="82"/>
      <c r="J12" s="91"/>
      <c r="K12" s="91"/>
      <c r="L12" s="91"/>
      <c r="M12" s="91"/>
      <c r="N12" s="84"/>
      <c r="O12" s="85"/>
    </row>
    <row r="13" spans="1:32" ht="21.6" thickBot="1">
      <c r="A13" s="77"/>
      <c r="B13" s="192" t="s">
        <v>12</v>
      </c>
      <c r="C13" s="193"/>
      <c r="D13" s="193"/>
      <c r="E13" s="193"/>
      <c r="F13" s="193"/>
      <c r="G13" s="194"/>
      <c r="H13" s="192" t="s">
        <v>20</v>
      </c>
      <c r="I13" s="193"/>
      <c r="J13" s="193"/>
      <c r="K13" s="193"/>
      <c r="L13" s="193"/>
      <c r="M13" s="194"/>
      <c r="N13" s="192" t="s">
        <v>14</v>
      </c>
      <c r="O13" s="193"/>
      <c r="P13" s="193"/>
      <c r="Q13" s="193"/>
      <c r="R13" s="193"/>
      <c r="S13" s="194"/>
      <c r="T13" s="192" t="s">
        <v>15</v>
      </c>
      <c r="U13" s="193"/>
      <c r="V13" s="193"/>
      <c r="W13" s="193"/>
      <c r="X13" s="193"/>
      <c r="Y13" s="194"/>
      <c r="Z13" s="192" t="s">
        <v>16</v>
      </c>
      <c r="AA13" s="193"/>
      <c r="AB13" s="193"/>
      <c r="AC13" s="193"/>
      <c r="AD13" s="193"/>
      <c r="AE13" s="194"/>
      <c r="AF13" s="201" t="s">
        <v>17</v>
      </c>
    </row>
    <row r="14" spans="1:32" ht="21.6" customHeight="1" thickBot="1">
      <c r="B14" s="195" t="s">
        <v>2</v>
      </c>
      <c r="C14" s="196"/>
      <c r="D14" s="196"/>
      <c r="E14" s="196"/>
      <c r="F14" s="197" t="s">
        <v>103</v>
      </c>
      <c r="G14" s="199" t="s">
        <v>104</v>
      </c>
      <c r="H14" s="195" t="s">
        <v>2</v>
      </c>
      <c r="I14" s="196"/>
      <c r="J14" s="196"/>
      <c r="K14" s="196"/>
      <c r="L14" s="197" t="s">
        <v>103</v>
      </c>
      <c r="M14" s="199" t="s">
        <v>104</v>
      </c>
      <c r="N14" s="195" t="s">
        <v>2</v>
      </c>
      <c r="O14" s="196"/>
      <c r="P14" s="196"/>
      <c r="Q14" s="196"/>
      <c r="R14" s="197" t="s">
        <v>103</v>
      </c>
      <c r="S14" s="199" t="s">
        <v>104</v>
      </c>
      <c r="T14" s="195" t="s">
        <v>2</v>
      </c>
      <c r="U14" s="196"/>
      <c r="V14" s="196"/>
      <c r="W14" s="196"/>
      <c r="X14" s="197" t="s">
        <v>103</v>
      </c>
      <c r="Y14" s="199" t="s">
        <v>104</v>
      </c>
      <c r="Z14" s="195" t="s">
        <v>2</v>
      </c>
      <c r="AA14" s="196"/>
      <c r="AB14" s="196"/>
      <c r="AC14" s="196"/>
      <c r="AD14" s="197" t="s">
        <v>103</v>
      </c>
      <c r="AE14" s="199" t="s">
        <v>104</v>
      </c>
      <c r="AF14" s="202"/>
    </row>
    <row r="15" spans="1:32" ht="21.6" customHeight="1" thickBot="1">
      <c r="A15" s="33" t="s">
        <v>19</v>
      </c>
      <c r="B15" s="73" t="s">
        <v>8</v>
      </c>
      <c r="C15" s="74" t="s">
        <v>9</v>
      </c>
      <c r="D15" s="74" t="s">
        <v>10</v>
      </c>
      <c r="E15" s="75" t="s">
        <v>11</v>
      </c>
      <c r="F15" s="198"/>
      <c r="G15" s="200"/>
      <c r="H15" s="73" t="s">
        <v>8</v>
      </c>
      <c r="I15" s="74" t="s">
        <v>9</v>
      </c>
      <c r="J15" s="74" t="s">
        <v>10</v>
      </c>
      <c r="K15" s="75" t="s">
        <v>11</v>
      </c>
      <c r="L15" s="198"/>
      <c r="M15" s="200"/>
      <c r="N15" s="73" t="s">
        <v>8</v>
      </c>
      <c r="O15" s="74" t="s">
        <v>9</v>
      </c>
      <c r="P15" s="74" t="s">
        <v>10</v>
      </c>
      <c r="Q15" s="75" t="s">
        <v>11</v>
      </c>
      <c r="R15" s="198"/>
      <c r="S15" s="200"/>
      <c r="T15" s="73" t="s">
        <v>8</v>
      </c>
      <c r="U15" s="74" t="s">
        <v>9</v>
      </c>
      <c r="V15" s="74" t="s">
        <v>10</v>
      </c>
      <c r="W15" s="75" t="s">
        <v>11</v>
      </c>
      <c r="X15" s="198"/>
      <c r="Y15" s="200"/>
      <c r="Z15" s="73" t="s">
        <v>8</v>
      </c>
      <c r="AA15" s="74" t="s">
        <v>9</v>
      </c>
      <c r="AB15" s="74" t="s">
        <v>10</v>
      </c>
      <c r="AC15" s="75" t="s">
        <v>11</v>
      </c>
      <c r="AD15" s="198"/>
      <c r="AE15" s="200"/>
      <c r="AF15" s="207"/>
    </row>
    <row r="16" spans="1:32" ht="15.95" thickBot="1">
      <c r="A16" s="34">
        <v>45809</v>
      </c>
      <c r="B16" s="36"/>
      <c r="C16" s="37"/>
      <c r="D16" s="37"/>
      <c r="E16" s="38"/>
      <c r="F16" s="64">
        <f t="shared" ref="F16:F45" si="5">(B16*4)+(C16*6)+(D16*4)+(E16*3)</f>
        <v>0</v>
      </c>
      <c r="G16" s="65">
        <f t="shared" ref="G16:G45" si="6">(F16*8)/1.8245</f>
        <v>0</v>
      </c>
      <c r="H16" s="36"/>
      <c r="I16" s="37"/>
      <c r="J16" s="37"/>
      <c r="K16" s="38"/>
      <c r="L16" s="64">
        <f t="shared" ref="L16:L45" si="7">(H16*4)+(I16*6)+(J16*4)+(K16*3)</f>
        <v>0</v>
      </c>
      <c r="M16" s="65">
        <f t="shared" ref="M16:M45" si="8">(L16*8)/1.8245</f>
        <v>0</v>
      </c>
      <c r="N16" s="36"/>
      <c r="O16" s="37"/>
      <c r="P16" s="37"/>
      <c r="Q16" s="38"/>
      <c r="R16" s="64">
        <f t="shared" ref="R16:R45" si="9">(N16*4)+(O16*6)+(P16*4)+(Q16*3)</f>
        <v>0</v>
      </c>
      <c r="S16" s="65">
        <f t="shared" ref="S16:S45" si="10">(R16*8)/1.8245</f>
        <v>0</v>
      </c>
      <c r="T16" s="36"/>
      <c r="U16" s="37"/>
      <c r="V16" s="37"/>
      <c r="W16" s="38"/>
      <c r="X16" s="64">
        <f t="shared" ref="X16:X45" si="11">(T16*4)+(U16*6)+(V16*4)+(W16*3)</f>
        <v>0</v>
      </c>
      <c r="Y16" s="65">
        <f t="shared" ref="Y16:Y45" si="12">(X16*8)/1.8245</f>
        <v>0</v>
      </c>
      <c r="Z16" s="36"/>
      <c r="AA16" s="37"/>
      <c r="AB16" s="37"/>
      <c r="AC16" s="38"/>
      <c r="AD16" s="64">
        <f t="shared" ref="AD16:AD45" si="13">(Z16*4)+(AA16*6)+(AB16*4)+(AC16*3)</f>
        <v>0</v>
      </c>
      <c r="AE16" s="65">
        <f t="shared" ref="AE16:AE45" si="14">(AD16*8)/1.8245</f>
        <v>0</v>
      </c>
      <c r="AF16" s="76">
        <f t="shared" ref="AF16:AF45" si="15">G16+M16+AE16+S16+Y16</f>
        <v>0</v>
      </c>
    </row>
    <row r="17" spans="1:32" ht="15.95" thickBot="1">
      <c r="A17" s="34">
        <v>45810</v>
      </c>
      <c r="B17" s="40"/>
      <c r="C17" s="39">
        <v>1</v>
      </c>
      <c r="D17" s="39"/>
      <c r="E17" s="41"/>
      <c r="F17" s="64">
        <f t="shared" si="5"/>
        <v>6</v>
      </c>
      <c r="G17" s="65">
        <f t="shared" si="6"/>
        <v>26.308577692518497</v>
      </c>
      <c r="H17" s="40">
        <v>2</v>
      </c>
      <c r="I17" s="39">
        <v>1</v>
      </c>
      <c r="J17" s="39"/>
      <c r="K17" s="41">
        <v>1</v>
      </c>
      <c r="L17" s="64">
        <f t="shared" si="7"/>
        <v>17</v>
      </c>
      <c r="M17" s="65">
        <f t="shared" si="8"/>
        <v>74.540970128802414</v>
      </c>
      <c r="N17" s="40">
        <v>1</v>
      </c>
      <c r="O17" s="39">
        <v>1</v>
      </c>
      <c r="P17" s="39"/>
      <c r="Q17" s="41">
        <v>1</v>
      </c>
      <c r="R17" s="64">
        <f t="shared" si="9"/>
        <v>13</v>
      </c>
      <c r="S17" s="65">
        <f t="shared" si="10"/>
        <v>57.00191833379008</v>
      </c>
      <c r="T17" s="40">
        <v>2</v>
      </c>
      <c r="U17" s="39"/>
      <c r="V17" s="39"/>
      <c r="W17" s="41"/>
      <c r="X17" s="64">
        <f t="shared" si="11"/>
        <v>8</v>
      </c>
      <c r="Y17" s="65">
        <f t="shared" si="12"/>
        <v>35.078103590024661</v>
      </c>
      <c r="Z17" s="40"/>
      <c r="AA17" s="39"/>
      <c r="AB17" s="39"/>
      <c r="AC17" s="41"/>
      <c r="AD17" s="64">
        <f t="shared" si="13"/>
        <v>0</v>
      </c>
      <c r="AE17" s="65">
        <f t="shared" si="14"/>
        <v>0</v>
      </c>
      <c r="AF17" s="76">
        <f t="shared" si="15"/>
        <v>192.92956974513564</v>
      </c>
    </row>
    <row r="18" spans="1:32" ht="15.95" thickBot="1">
      <c r="A18" s="34">
        <v>45811</v>
      </c>
      <c r="B18" s="40">
        <v>1</v>
      </c>
      <c r="C18" s="39">
        <v>1</v>
      </c>
      <c r="D18" s="39"/>
      <c r="E18" s="41">
        <v>1</v>
      </c>
      <c r="F18" s="64">
        <f t="shared" si="5"/>
        <v>13</v>
      </c>
      <c r="G18" s="65">
        <f t="shared" si="6"/>
        <v>57.00191833379008</v>
      </c>
      <c r="H18" s="40">
        <v>2</v>
      </c>
      <c r="I18" s="39">
        <v>1</v>
      </c>
      <c r="J18" s="39"/>
      <c r="K18" s="41"/>
      <c r="L18" s="64">
        <f t="shared" si="7"/>
        <v>14</v>
      </c>
      <c r="M18" s="65">
        <f t="shared" si="8"/>
        <v>61.386681282543165</v>
      </c>
      <c r="N18" s="40">
        <v>1</v>
      </c>
      <c r="O18" s="39">
        <v>1</v>
      </c>
      <c r="P18" s="39"/>
      <c r="Q18" s="41">
        <v>1</v>
      </c>
      <c r="R18" s="64">
        <f t="shared" si="9"/>
        <v>13</v>
      </c>
      <c r="S18" s="65">
        <f t="shared" si="10"/>
        <v>57.00191833379008</v>
      </c>
      <c r="T18" s="40">
        <v>2</v>
      </c>
      <c r="U18" s="39">
        <v>3</v>
      </c>
      <c r="V18" s="39"/>
      <c r="W18" s="41">
        <v>1</v>
      </c>
      <c r="X18" s="64">
        <f t="shared" si="11"/>
        <v>29</v>
      </c>
      <c r="Y18" s="65">
        <f t="shared" si="12"/>
        <v>127.15812551383941</v>
      </c>
      <c r="Z18" s="40">
        <v>2</v>
      </c>
      <c r="AA18" s="39">
        <v>1</v>
      </c>
      <c r="AB18" s="39"/>
      <c r="AC18" s="41"/>
      <c r="AD18" s="64">
        <f t="shared" si="13"/>
        <v>14</v>
      </c>
      <c r="AE18" s="65">
        <f t="shared" si="14"/>
        <v>61.386681282543165</v>
      </c>
      <c r="AF18" s="76">
        <f t="shared" si="15"/>
        <v>363.9353247465059</v>
      </c>
    </row>
    <row r="19" spans="1:32" ht="15.95" thickBot="1">
      <c r="A19" s="34">
        <v>45812</v>
      </c>
      <c r="B19" s="40">
        <v>2</v>
      </c>
      <c r="C19" s="39">
        <v>1</v>
      </c>
      <c r="D19" s="39"/>
      <c r="E19" s="41">
        <v>1</v>
      </c>
      <c r="F19" s="64">
        <f t="shared" si="5"/>
        <v>17</v>
      </c>
      <c r="G19" s="65">
        <f t="shared" si="6"/>
        <v>74.540970128802414</v>
      </c>
      <c r="H19" s="40">
        <v>2</v>
      </c>
      <c r="I19" s="39">
        <v>1</v>
      </c>
      <c r="J19" s="39"/>
      <c r="K19" s="41"/>
      <c r="L19" s="64">
        <f t="shared" si="7"/>
        <v>14</v>
      </c>
      <c r="M19" s="65">
        <f t="shared" si="8"/>
        <v>61.386681282543165</v>
      </c>
      <c r="N19" s="40">
        <v>1</v>
      </c>
      <c r="O19" s="39">
        <v>1</v>
      </c>
      <c r="P19" s="39"/>
      <c r="Q19" s="41">
        <v>1</v>
      </c>
      <c r="R19" s="64">
        <f t="shared" si="9"/>
        <v>13</v>
      </c>
      <c r="S19" s="65">
        <f t="shared" si="10"/>
        <v>57.00191833379008</v>
      </c>
      <c r="T19" s="40">
        <v>1</v>
      </c>
      <c r="U19" s="39"/>
      <c r="V19" s="39"/>
      <c r="W19" s="41"/>
      <c r="X19" s="64">
        <f t="shared" si="11"/>
        <v>4</v>
      </c>
      <c r="Y19" s="65">
        <f t="shared" si="12"/>
        <v>17.53905179501233</v>
      </c>
      <c r="Z19" s="40">
        <v>4</v>
      </c>
      <c r="AA19" s="39"/>
      <c r="AB19" s="39"/>
      <c r="AC19" s="41"/>
      <c r="AD19" s="64">
        <f t="shared" si="13"/>
        <v>16</v>
      </c>
      <c r="AE19" s="65">
        <f t="shared" si="14"/>
        <v>70.156207180049321</v>
      </c>
      <c r="AF19" s="76">
        <f t="shared" si="15"/>
        <v>280.62482872019729</v>
      </c>
    </row>
    <row r="20" spans="1:32" ht="15.95" thickBot="1">
      <c r="A20" s="34">
        <v>45813</v>
      </c>
      <c r="B20" s="42">
        <v>2</v>
      </c>
      <c r="C20" s="43">
        <v>1</v>
      </c>
      <c r="D20" s="43"/>
      <c r="E20" s="44">
        <v>1</v>
      </c>
      <c r="F20" s="64">
        <f t="shared" si="5"/>
        <v>17</v>
      </c>
      <c r="G20" s="65">
        <f t="shared" si="6"/>
        <v>74.540970128802414</v>
      </c>
      <c r="H20" s="42">
        <v>2</v>
      </c>
      <c r="I20" s="43">
        <v>1</v>
      </c>
      <c r="J20" s="43"/>
      <c r="K20" s="44">
        <v>1</v>
      </c>
      <c r="L20" s="64">
        <f t="shared" si="7"/>
        <v>17</v>
      </c>
      <c r="M20" s="65">
        <f t="shared" si="8"/>
        <v>74.540970128802414</v>
      </c>
      <c r="N20" s="42">
        <v>2</v>
      </c>
      <c r="O20" s="43">
        <v>1</v>
      </c>
      <c r="P20" s="43"/>
      <c r="Q20" s="44">
        <v>1</v>
      </c>
      <c r="R20" s="64">
        <f t="shared" si="9"/>
        <v>17</v>
      </c>
      <c r="S20" s="65">
        <f t="shared" si="10"/>
        <v>74.540970128802414</v>
      </c>
      <c r="T20" s="42"/>
      <c r="U20" s="43"/>
      <c r="V20" s="43"/>
      <c r="W20" s="44"/>
      <c r="X20" s="64">
        <f t="shared" si="11"/>
        <v>0</v>
      </c>
      <c r="Y20" s="65">
        <f t="shared" si="12"/>
        <v>0</v>
      </c>
      <c r="Z20" s="42">
        <v>1</v>
      </c>
      <c r="AA20" s="43">
        <v>1</v>
      </c>
      <c r="AB20" s="43"/>
      <c r="AC20" s="44"/>
      <c r="AD20" s="64">
        <f t="shared" si="13"/>
        <v>10</v>
      </c>
      <c r="AE20" s="65">
        <f t="shared" si="14"/>
        <v>43.847629487530831</v>
      </c>
      <c r="AF20" s="76">
        <f t="shared" si="15"/>
        <v>267.47053987393809</v>
      </c>
    </row>
    <row r="21" spans="1:32" ht="15.95" thickBot="1">
      <c r="A21" s="34">
        <v>45814</v>
      </c>
      <c r="B21" s="42"/>
      <c r="C21" s="43"/>
      <c r="D21" s="43"/>
      <c r="E21" s="44"/>
      <c r="F21" s="64">
        <f t="shared" si="5"/>
        <v>0</v>
      </c>
      <c r="G21" s="65">
        <f t="shared" si="6"/>
        <v>0</v>
      </c>
      <c r="H21" s="42"/>
      <c r="I21" s="43"/>
      <c r="J21" s="43"/>
      <c r="K21" s="44"/>
      <c r="L21" s="64">
        <f t="shared" si="7"/>
        <v>0</v>
      </c>
      <c r="M21" s="65">
        <f t="shared" si="8"/>
        <v>0</v>
      </c>
      <c r="N21" s="42"/>
      <c r="O21" s="43"/>
      <c r="P21" s="43"/>
      <c r="Q21" s="44"/>
      <c r="R21" s="64">
        <f t="shared" si="9"/>
        <v>0</v>
      </c>
      <c r="S21" s="65">
        <f t="shared" si="10"/>
        <v>0</v>
      </c>
      <c r="T21" s="42"/>
      <c r="U21" s="43"/>
      <c r="V21" s="43"/>
      <c r="W21" s="44"/>
      <c r="X21" s="64">
        <f t="shared" si="11"/>
        <v>0</v>
      </c>
      <c r="Y21" s="65">
        <f t="shared" si="12"/>
        <v>0</v>
      </c>
      <c r="Z21" s="42">
        <v>1</v>
      </c>
      <c r="AA21" s="43">
        <v>1</v>
      </c>
      <c r="AB21" s="43"/>
      <c r="AC21" s="44">
        <v>1</v>
      </c>
      <c r="AD21" s="64">
        <f t="shared" si="13"/>
        <v>13</v>
      </c>
      <c r="AE21" s="65">
        <f t="shared" si="14"/>
        <v>57.00191833379008</v>
      </c>
      <c r="AF21" s="76">
        <f t="shared" si="15"/>
        <v>57.00191833379008</v>
      </c>
    </row>
    <row r="22" spans="1:32" ht="15.95" thickBot="1">
      <c r="A22" s="34">
        <v>45815</v>
      </c>
      <c r="B22" s="42">
        <v>1</v>
      </c>
      <c r="C22" s="43">
        <v>1</v>
      </c>
      <c r="D22" s="43"/>
      <c r="E22" s="44"/>
      <c r="F22" s="64">
        <f t="shared" si="5"/>
        <v>10</v>
      </c>
      <c r="G22" s="65">
        <f t="shared" si="6"/>
        <v>43.847629487530831</v>
      </c>
      <c r="H22" s="42">
        <v>2</v>
      </c>
      <c r="I22" s="43">
        <v>1</v>
      </c>
      <c r="J22" s="43"/>
      <c r="K22" s="44">
        <v>1</v>
      </c>
      <c r="L22" s="64">
        <f t="shared" si="7"/>
        <v>17</v>
      </c>
      <c r="M22" s="65">
        <f t="shared" si="8"/>
        <v>74.540970128802414</v>
      </c>
      <c r="N22" s="42">
        <v>2</v>
      </c>
      <c r="O22" s="43">
        <v>1</v>
      </c>
      <c r="P22" s="43"/>
      <c r="Q22" s="44"/>
      <c r="R22" s="64">
        <f t="shared" si="9"/>
        <v>14</v>
      </c>
      <c r="S22" s="65">
        <f t="shared" si="10"/>
        <v>61.386681282543165</v>
      </c>
      <c r="T22" s="42">
        <v>3</v>
      </c>
      <c r="U22" s="43">
        <v>1</v>
      </c>
      <c r="V22" s="43"/>
      <c r="W22" s="44">
        <v>1</v>
      </c>
      <c r="X22" s="64">
        <f t="shared" si="11"/>
        <v>21</v>
      </c>
      <c r="Y22" s="65">
        <f t="shared" si="12"/>
        <v>92.080021923814741</v>
      </c>
      <c r="Z22" s="42">
        <v>2</v>
      </c>
      <c r="AA22" s="43">
        <v>1</v>
      </c>
      <c r="AB22" s="43"/>
      <c r="AC22" s="44">
        <v>1</v>
      </c>
      <c r="AD22" s="64">
        <f t="shared" si="13"/>
        <v>17</v>
      </c>
      <c r="AE22" s="65">
        <f t="shared" si="14"/>
        <v>74.540970128802414</v>
      </c>
      <c r="AF22" s="76">
        <f t="shared" si="15"/>
        <v>346.39627295149359</v>
      </c>
    </row>
    <row r="23" spans="1:32" ht="15.95" thickBot="1">
      <c r="A23" s="34">
        <v>45816</v>
      </c>
      <c r="B23" s="42"/>
      <c r="C23" s="43"/>
      <c r="D23" s="43"/>
      <c r="E23" s="44"/>
      <c r="F23" s="64">
        <f t="shared" si="5"/>
        <v>0</v>
      </c>
      <c r="G23" s="65">
        <f t="shared" si="6"/>
        <v>0</v>
      </c>
      <c r="H23" s="42"/>
      <c r="I23" s="43"/>
      <c r="J23" s="43"/>
      <c r="K23" s="44"/>
      <c r="L23" s="64">
        <f t="shared" si="7"/>
        <v>0</v>
      </c>
      <c r="M23" s="65">
        <f t="shared" si="8"/>
        <v>0</v>
      </c>
      <c r="N23" s="42"/>
      <c r="O23" s="43"/>
      <c r="P23" s="43"/>
      <c r="Q23" s="44"/>
      <c r="R23" s="64">
        <f t="shared" si="9"/>
        <v>0</v>
      </c>
      <c r="S23" s="65">
        <f t="shared" si="10"/>
        <v>0</v>
      </c>
      <c r="T23" s="42"/>
      <c r="U23" s="43"/>
      <c r="V23" s="43"/>
      <c r="W23" s="44"/>
      <c r="X23" s="64">
        <f t="shared" si="11"/>
        <v>0</v>
      </c>
      <c r="Y23" s="65">
        <f t="shared" si="12"/>
        <v>0</v>
      </c>
      <c r="Z23" s="42"/>
      <c r="AA23" s="43"/>
      <c r="AB23" s="43"/>
      <c r="AC23" s="44"/>
      <c r="AD23" s="64">
        <f t="shared" si="13"/>
        <v>0</v>
      </c>
      <c r="AE23" s="65">
        <f t="shared" si="14"/>
        <v>0</v>
      </c>
      <c r="AF23" s="76">
        <f t="shared" si="15"/>
        <v>0</v>
      </c>
    </row>
    <row r="24" spans="1:32" ht="15.95" thickBot="1">
      <c r="A24" s="34">
        <v>45817</v>
      </c>
      <c r="B24" s="42">
        <v>1</v>
      </c>
      <c r="C24" s="43">
        <v>2</v>
      </c>
      <c r="D24" s="43"/>
      <c r="E24" s="44"/>
      <c r="F24" s="64">
        <f t="shared" si="5"/>
        <v>16</v>
      </c>
      <c r="G24" s="65">
        <f t="shared" si="6"/>
        <v>70.156207180049321</v>
      </c>
      <c r="H24" s="42">
        <v>2</v>
      </c>
      <c r="I24" s="43">
        <v>1</v>
      </c>
      <c r="J24" s="43"/>
      <c r="K24" s="44"/>
      <c r="L24" s="64">
        <f t="shared" si="7"/>
        <v>14</v>
      </c>
      <c r="M24" s="65">
        <f t="shared" si="8"/>
        <v>61.386681282543165</v>
      </c>
      <c r="N24" s="42"/>
      <c r="O24" s="43"/>
      <c r="P24" s="43"/>
      <c r="Q24" s="44"/>
      <c r="R24" s="64">
        <f t="shared" si="9"/>
        <v>0</v>
      </c>
      <c r="S24" s="65">
        <f t="shared" si="10"/>
        <v>0</v>
      </c>
      <c r="T24" s="42">
        <v>3</v>
      </c>
      <c r="U24" s="43">
        <v>1</v>
      </c>
      <c r="V24" s="43"/>
      <c r="W24" s="44">
        <v>1</v>
      </c>
      <c r="X24" s="64">
        <f t="shared" si="11"/>
        <v>21</v>
      </c>
      <c r="Y24" s="65">
        <f t="shared" si="12"/>
        <v>92.080021923814741</v>
      </c>
      <c r="Z24" s="42"/>
      <c r="AA24" s="43"/>
      <c r="AB24" s="43"/>
      <c r="AC24" s="44"/>
      <c r="AD24" s="64">
        <f t="shared" si="13"/>
        <v>0</v>
      </c>
      <c r="AE24" s="65">
        <f t="shared" si="14"/>
        <v>0</v>
      </c>
      <c r="AF24" s="76">
        <f t="shared" si="15"/>
        <v>223.62291038640723</v>
      </c>
    </row>
    <row r="25" spans="1:32" ht="15.95" thickBot="1">
      <c r="A25" s="34">
        <v>45818</v>
      </c>
      <c r="B25" s="40">
        <v>1</v>
      </c>
      <c r="C25" s="39">
        <v>1</v>
      </c>
      <c r="D25" s="39"/>
      <c r="E25" s="41"/>
      <c r="F25" s="64">
        <f t="shared" si="5"/>
        <v>10</v>
      </c>
      <c r="G25" s="65">
        <f t="shared" si="6"/>
        <v>43.847629487530831</v>
      </c>
      <c r="H25" s="40">
        <v>2</v>
      </c>
      <c r="I25" s="39">
        <v>1</v>
      </c>
      <c r="J25" s="39"/>
      <c r="K25" s="41">
        <v>1</v>
      </c>
      <c r="L25" s="64">
        <f t="shared" si="7"/>
        <v>17</v>
      </c>
      <c r="M25" s="65">
        <f t="shared" si="8"/>
        <v>74.540970128802414</v>
      </c>
      <c r="N25" s="40">
        <v>1</v>
      </c>
      <c r="O25" s="39">
        <v>2</v>
      </c>
      <c r="P25" s="39"/>
      <c r="Q25" s="41"/>
      <c r="R25" s="64">
        <f t="shared" si="9"/>
        <v>16</v>
      </c>
      <c r="S25" s="65">
        <f t="shared" si="10"/>
        <v>70.156207180049321</v>
      </c>
      <c r="T25" s="40"/>
      <c r="U25" s="39"/>
      <c r="V25" s="39">
        <v>1</v>
      </c>
      <c r="W25" s="41">
        <v>1</v>
      </c>
      <c r="X25" s="64">
        <f t="shared" si="11"/>
        <v>7</v>
      </c>
      <c r="Y25" s="65">
        <f t="shared" si="12"/>
        <v>30.693340641271583</v>
      </c>
      <c r="Z25" s="40">
        <v>1</v>
      </c>
      <c r="AA25" s="39">
        <v>1</v>
      </c>
      <c r="AB25" s="39"/>
      <c r="AC25" s="41">
        <v>1</v>
      </c>
      <c r="AD25" s="64">
        <f t="shared" si="13"/>
        <v>13</v>
      </c>
      <c r="AE25" s="65">
        <f t="shared" si="14"/>
        <v>57.00191833379008</v>
      </c>
      <c r="AF25" s="76">
        <f t="shared" si="15"/>
        <v>276.24006577144422</v>
      </c>
    </row>
    <row r="26" spans="1:32" ht="15.95" thickBot="1">
      <c r="A26" s="34">
        <v>45819</v>
      </c>
      <c r="B26" s="40">
        <v>2</v>
      </c>
      <c r="C26" s="39">
        <v>1</v>
      </c>
      <c r="D26" s="39"/>
      <c r="E26" s="41"/>
      <c r="F26" s="64">
        <f t="shared" si="5"/>
        <v>14</v>
      </c>
      <c r="G26" s="65">
        <f t="shared" si="6"/>
        <v>61.386681282543165</v>
      </c>
      <c r="H26" s="40">
        <v>2</v>
      </c>
      <c r="I26" s="39">
        <v>1</v>
      </c>
      <c r="J26" s="39"/>
      <c r="K26" s="41">
        <v>1</v>
      </c>
      <c r="L26" s="64">
        <f t="shared" si="7"/>
        <v>17</v>
      </c>
      <c r="M26" s="65">
        <f t="shared" si="8"/>
        <v>74.540970128802414</v>
      </c>
      <c r="N26" s="40"/>
      <c r="O26" s="39">
        <v>1</v>
      </c>
      <c r="P26" s="39"/>
      <c r="Q26" s="41">
        <v>1</v>
      </c>
      <c r="R26" s="64">
        <f t="shared" si="9"/>
        <v>9</v>
      </c>
      <c r="S26" s="65">
        <f t="shared" si="10"/>
        <v>39.462866538777746</v>
      </c>
      <c r="T26" s="40">
        <v>2</v>
      </c>
      <c r="U26" s="39"/>
      <c r="V26" s="39"/>
      <c r="W26" s="41">
        <v>1</v>
      </c>
      <c r="X26" s="64">
        <f t="shared" si="11"/>
        <v>11</v>
      </c>
      <c r="Y26" s="65">
        <f t="shared" si="12"/>
        <v>48.232392436283916</v>
      </c>
      <c r="Z26" s="40">
        <v>1</v>
      </c>
      <c r="AA26" s="39">
        <v>1</v>
      </c>
      <c r="AB26" s="39"/>
      <c r="AC26" s="41">
        <v>1</v>
      </c>
      <c r="AD26" s="64">
        <f t="shared" si="13"/>
        <v>13</v>
      </c>
      <c r="AE26" s="65">
        <f t="shared" si="14"/>
        <v>57.00191833379008</v>
      </c>
      <c r="AF26" s="76">
        <f t="shared" si="15"/>
        <v>280.62482872019734</v>
      </c>
    </row>
    <row r="27" spans="1:32" ht="15.95" thickBot="1">
      <c r="A27" s="34">
        <v>45820</v>
      </c>
      <c r="B27" s="40"/>
      <c r="C27" s="39"/>
      <c r="D27" s="39"/>
      <c r="E27" s="41"/>
      <c r="F27" s="64">
        <f t="shared" si="5"/>
        <v>0</v>
      </c>
      <c r="G27" s="65">
        <f t="shared" si="6"/>
        <v>0</v>
      </c>
      <c r="H27" s="40"/>
      <c r="I27" s="39"/>
      <c r="J27" s="39"/>
      <c r="K27" s="41"/>
      <c r="L27" s="64">
        <f t="shared" si="7"/>
        <v>0</v>
      </c>
      <c r="M27" s="65">
        <f t="shared" si="8"/>
        <v>0</v>
      </c>
      <c r="N27" s="40"/>
      <c r="O27" s="39"/>
      <c r="P27" s="39"/>
      <c r="Q27" s="41"/>
      <c r="R27" s="64">
        <f t="shared" si="9"/>
        <v>0</v>
      </c>
      <c r="S27" s="65">
        <f t="shared" si="10"/>
        <v>0</v>
      </c>
      <c r="T27" s="40"/>
      <c r="U27" s="39"/>
      <c r="V27" s="39"/>
      <c r="W27" s="41"/>
      <c r="X27" s="64">
        <f t="shared" si="11"/>
        <v>0</v>
      </c>
      <c r="Y27" s="65">
        <f t="shared" si="12"/>
        <v>0</v>
      </c>
      <c r="Z27" s="40">
        <v>1</v>
      </c>
      <c r="AA27" s="39"/>
      <c r="AB27" s="39"/>
      <c r="AC27" s="41"/>
      <c r="AD27" s="64">
        <f t="shared" si="13"/>
        <v>4</v>
      </c>
      <c r="AE27" s="65">
        <f t="shared" si="14"/>
        <v>17.53905179501233</v>
      </c>
      <c r="AF27" s="76">
        <f t="shared" si="15"/>
        <v>17.53905179501233</v>
      </c>
    </row>
    <row r="28" spans="1:32" ht="15.95" thickBot="1">
      <c r="A28" s="34">
        <v>45821</v>
      </c>
      <c r="B28" s="40"/>
      <c r="C28" s="39">
        <v>1</v>
      </c>
      <c r="D28" s="39"/>
      <c r="E28" s="41"/>
      <c r="F28" s="64">
        <f t="shared" si="5"/>
        <v>6</v>
      </c>
      <c r="G28" s="65">
        <f t="shared" si="6"/>
        <v>26.308577692518497</v>
      </c>
      <c r="H28" s="40">
        <v>2</v>
      </c>
      <c r="I28" s="39">
        <v>1</v>
      </c>
      <c r="J28" s="39"/>
      <c r="K28" s="41">
        <v>1</v>
      </c>
      <c r="L28" s="64">
        <f t="shared" si="7"/>
        <v>17</v>
      </c>
      <c r="M28" s="65">
        <f t="shared" si="8"/>
        <v>74.540970128802414</v>
      </c>
      <c r="N28" s="40">
        <v>2</v>
      </c>
      <c r="O28" s="39">
        <v>1</v>
      </c>
      <c r="P28" s="39"/>
      <c r="Q28" s="41">
        <v>1</v>
      </c>
      <c r="R28" s="64">
        <f t="shared" si="9"/>
        <v>17</v>
      </c>
      <c r="S28" s="65">
        <f t="shared" si="10"/>
        <v>74.540970128802414</v>
      </c>
      <c r="T28" s="40">
        <v>2</v>
      </c>
      <c r="U28" s="39">
        <v>2</v>
      </c>
      <c r="V28" s="39"/>
      <c r="W28" s="41">
        <v>1</v>
      </c>
      <c r="X28" s="64">
        <f t="shared" si="11"/>
        <v>23</v>
      </c>
      <c r="Y28" s="65">
        <f t="shared" si="12"/>
        <v>100.84954782132091</v>
      </c>
      <c r="Z28" s="40">
        <v>2</v>
      </c>
      <c r="AA28" s="39">
        <v>1</v>
      </c>
      <c r="AB28" s="39"/>
      <c r="AC28" s="41">
        <v>1</v>
      </c>
      <c r="AD28" s="64">
        <f t="shared" si="13"/>
        <v>17</v>
      </c>
      <c r="AE28" s="65">
        <f t="shared" si="14"/>
        <v>74.540970128802414</v>
      </c>
      <c r="AF28" s="76">
        <f t="shared" si="15"/>
        <v>350.78103590024665</v>
      </c>
    </row>
    <row r="29" spans="1:32" ht="15.95" thickBot="1">
      <c r="A29" s="34">
        <v>45822</v>
      </c>
      <c r="B29" s="40"/>
      <c r="C29" s="39"/>
      <c r="D29" s="39"/>
      <c r="E29" s="41"/>
      <c r="F29" s="64">
        <f t="shared" si="5"/>
        <v>0</v>
      </c>
      <c r="G29" s="65">
        <f t="shared" si="6"/>
        <v>0</v>
      </c>
      <c r="H29" s="40">
        <v>2</v>
      </c>
      <c r="I29" s="39">
        <v>1</v>
      </c>
      <c r="J29" s="39"/>
      <c r="K29" s="41">
        <v>1</v>
      </c>
      <c r="L29" s="64">
        <f t="shared" si="7"/>
        <v>17</v>
      </c>
      <c r="M29" s="65">
        <f t="shared" si="8"/>
        <v>74.540970128802414</v>
      </c>
      <c r="N29" s="40">
        <v>1</v>
      </c>
      <c r="O29" s="39">
        <v>1</v>
      </c>
      <c r="P29" s="39"/>
      <c r="Q29" s="41">
        <v>1</v>
      </c>
      <c r="R29" s="64">
        <f t="shared" si="9"/>
        <v>13</v>
      </c>
      <c r="S29" s="65">
        <f t="shared" si="10"/>
        <v>57.00191833379008</v>
      </c>
      <c r="T29" s="40"/>
      <c r="U29" s="39"/>
      <c r="V29" s="39"/>
      <c r="W29" s="41"/>
      <c r="X29" s="64">
        <f t="shared" si="11"/>
        <v>0</v>
      </c>
      <c r="Y29" s="65">
        <f t="shared" si="12"/>
        <v>0</v>
      </c>
      <c r="Z29" s="40">
        <v>2</v>
      </c>
      <c r="AA29" s="39">
        <v>1</v>
      </c>
      <c r="AB29" s="39"/>
      <c r="AC29" s="41">
        <v>1</v>
      </c>
      <c r="AD29" s="64">
        <f t="shared" si="13"/>
        <v>17</v>
      </c>
      <c r="AE29" s="65">
        <f t="shared" si="14"/>
        <v>74.540970128802414</v>
      </c>
      <c r="AF29" s="76">
        <f t="shared" si="15"/>
        <v>206.08385859139491</v>
      </c>
    </row>
    <row r="30" spans="1:32" ht="15.95" thickBot="1">
      <c r="A30" s="34">
        <v>45823</v>
      </c>
      <c r="B30" s="40"/>
      <c r="C30" s="39"/>
      <c r="D30" s="39"/>
      <c r="E30" s="41"/>
      <c r="F30" s="64">
        <f t="shared" si="5"/>
        <v>0</v>
      </c>
      <c r="G30" s="65">
        <f t="shared" si="6"/>
        <v>0</v>
      </c>
      <c r="H30" s="40"/>
      <c r="I30" s="39"/>
      <c r="J30" s="39"/>
      <c r="K30" s="41"/>
      <c r="L30" s="64">
        <f t="shared" si="7"/>
        <v>0</v>
      </c>
      <c r="M30" s="65">
        <f t="shared" si="8"/>
        <v>0</v>
      </c>
      <c r="N30" s="40"/>
      <c r="O30" s="39"/>
      <c r="P30" s="39"/>
      <c r="Q30" s="41"/>
      <c r="R30" s="64">
        <f t="shared" si="9"/>
        <v>0</v>
      </c>
      <c r="S30" s="65">
        <f t="shared" si="10"/>
        <v>0</v>
      </c>
      <c r="T30" s="40"/>
      <c r="U30" s="39"/>
      <c r="V30" s="39"/>
      <c r="W30" s="41"/>
      <c r="X30" s="64">
        <f t="shared" si="11"/>
        <v>0</v>
      </c>
      <c r="Y30" s="65">
        <f t="shared" si="12"/>
        <v>0</v>
      </c>
      <c r="Z30" s="40"/>
      <c r="AA30" s="39"/>
      <c r="AB30" s="39"/>
      <c r="AC30" s="41"/>
      <c r="AD30" s="64">
        <f t="shared" si="13"/>
        <v>0</v>
      </c>
      <c r="AE30" s="65">
        <f t="shared" si="14"/>
        <v>0</v>
      </c>
      <c r="AF30" s="76">
        <f t="shared" si="15"/>
        <v>0</v>
      </c>
    </row>
    <row r="31" spans="1:32" ht="15.95" thickBot="1">
      <c r="A31" s="34">
        <v>45824</v>
      </c>
      <c r="B31" s="40"/>
      <c r="C31" s="39">
        <v>1</v>
      </c>
      <c r="D31" s="39"/>
      <c r="E31" s="41"/>
      <c r="F31" s="64">
        <f t="shared" si="5"/>
        <v>6</v>
      </c>
      <c r="G31" s="65">
        <f t="shared" si="6"/>
        <v>26.308577692518497</v>
      </c>
      <c r="H31" s="40">
        <v>2</v>
      </c>
      <c r="I31" s="39">
        <v>1</v>
      </c>
      <c r="J31" s="39"/>
      <c r="K31" s="41"/>
      <c r="L31" s="64">
        <f t="shared" si="7"/>
        <v>14</v>
      </c>
      <c r="M31" s="65">
        <f t="shared" si="8"/>
        <v>61.386681282543165</v>
      </c>
      <c r="N31" s="40">
        <v>2</v>
      </c>
      <c r="O31" s="39">
        <v>1</v>
      </c>
      <c r="P31" s="39"/>
      <c r="Q31" s="41">
        <v>1</v>
      </c>
      <c r="R31" s="64">
        <f t="shared" si="9"/>
        <v>17</v>
      </c>
      <c r="S31" s="65">
        <f t="shared" si="10"/>
        <v>74.540970128802414</v>
      </c>
      <c r="T31" s="40">
        <v>1</v>
      </c>
      <c r="U31" s="39">
        <v>1</v>
      </c>
      <c r="V31" s="39"/>
      <c r="W31" s="41">
        <v>1</v>
      </c>
      <c r="X31" s="64">
        <f t="shared" si="11"/>
        <v>13</v>
      </c>
      <c r="Y31" s="65">
        <f t="shared" si="12"/>
        <v>57.00191833379008</v>
      </c>
      <c r="Z31" s="40"/>
      <c r="AA31" s="39"/>
      <c r="AB31" s="39"/>
      <c r="AC31" s="41"/>
      <c r="AD31" s="64">
        <f t="shared" si="13"/>
        <v>0</v>
      </c>
      <c r="AE31" s="65">
        <f t="shared" si="14"/>
        <v>0</v>
      </c>
      <c r="AF31" s="76">
        <f t="shared" si="15"/>
        <v>219.23814743765416</v>
      </c>
    </row>
    <row r="32" spans="1:32" ht="15.95" thickBot="1">
      <c r="A32" s="34">
        <v>45825</v>
      </c>
      <c r="B32" s="40">
        <v>1</v>
      </c>
      <c r="C32" s="39"/>
      <c r="D32" s="39"/>
      <c r="E32" s="41"/>
      <c r="F32" s="64">
        <f t="shared" si="5"/>
        <v>4</v>
      </c>
      <c r="G32" s="65">
        <f t="shared" si="6"/>
        <v>17.53905179501233</v>
      </c>
      <c r="H32" s="40">
        <v>2</v>
      </c>
      <c r="I32" s="39">
        <v>1</v>
      </c>
      <c r="J32" s="39"/>
      <c r="K32" s="41">
        <v>1</v>
      </c>
      <c r="L32" s="64">
        <f t="shared" si="7"/>
        <v>17</v>
      </c>
      <c r="M32" s="65">
        <f t="shared" si="8"/>
        <v>74.540970128802414</v>
      </c>
      <c r="N32" s="40">
        <v>2</v>
      </c>
      <c r="O32" s="39">
        <v>2</v>
      </c>
      <c r="P32" s="39"/>
      <c r="Q32" s="41">
        <v>1</v>
      </c>
      <c r="R32" s="64">
        <f t="shared" si="9"/>
        <v>23</v>
      </c>
      <c r="S32" s="65">
        <f t="shared" si="10"/>
        <v>100.84954782132091</v>
      </c>
      <c r="T32" s="40">
        <v>1</v>
      </c>
      <c r="U32" s="39">
        <v>2</v>
      </c>
      <c r="V32" s="39"/>
      <c r="W32" s="41">
        <v>1</v>
      </c>
      <c r="X32" s="64">
        <f t="shared" si="11"/>
        <v>19</v>
      </c>
      <c r="Y32" s="65">
        <f t="shared" si="12"/>
        <v>83.310496026308584</v>
      </c>
      <c r="Z32" s="40">
        <v>2</v>
      </c>
      <c r="AA32" s="39">
        <v>1</v>
      </c>
      <c r="AB32" s="39"/>
      <c r="AC32" s="41">
        <v>1</v>
      </c>
      <c r="AD32" s="64">
        <f t="shared" si="13"/>
        <v>17</v>
      </c>
      <c r="AE32" s="65">
        <f t="shared" si="14"/>
        <v>74.540970128802414</v>
      </c>
      <c r="AF32" s="76">
        <f t="shared" si="15"/>
        <v>350.78103590024671</v>
      </c>
    </row>
    <row r="33" spans="1:32" ht="15.95" thickBot="1">
      <c r="A33" s="34">
        <v>45826</v>
      </c>
      <c r="B33" s="40"/>
      <c r="C33" s="39"/>
      <c r="D33" s="39"/>
      <c r="E33" s="41"/>
      <c r="F33" s="64">
        <f t="shared" si="5"/>
        <v>0</v>
      </c>
      <c r="G33" s="65">
        <f t="shared" si="6"/>
        <v>0</v>
      </c>
      <c r="H33" s="40"/>
      <c r="I33" s="39"/>
      <c r="J33" s="39"/>
      <c r="K33" s="41"/>
      <c r="L33" s="64">
        <f t="shared" si="7"/>
        <v>0</v>
      </c>
      <c r="M33" s="65">
        <f t="shared" si="8"/>
        <v>0</v>
      </c>
      <c r="N33" s="40">
        <v>2</v>
      </c>
      <c r="O33" s="39">
        <v>1</v>
      </c>
      <c r="P33" s="39"/>
      <c r="Q33" s="41">
        <v>1</v>
      </c>
      <c r="R33" s="64">
        <f t="shared" si="9"/>
        <v>17</v>
      </c>
      <c r="S33" s="65">
        <f t="shared" si="10"/>
        <v>74.540970128802414</v>
      </c>
      <c r="T33" s="40"/>
      <c r="U33" s="39"/>
      <c r="V33" s="39"/>
      <c r="W33" s="41"/>
      <c r="X33" s="64">
        <f t="shared" si="11"/>
        <v>0</v>
      </c>
      <c r="Y33" s="65">
        <f t="shared" si="12"/>
        <v>0</v>
      </c>
      <c r="Z33" s="40">
        <v>3</v>
      </c>
      <c r="AA33" s="39"/>
      <c r="AB33" s="39"/>
      <c r="AC33" s="41">
        <v>1</v>
      </c>
      <c r="AD33" s="64">
        <f t="shared" si="13"/>
        <v>15</v>
      </c>
      <c r="AE33" s="65">
        <f t="shared" si="14"/>
        <v>65.771444231296243</v>
      </c>
      <c r="AF33" s="76">
        <f t="shared" si="15"/>
        <v>140.31241436009867</v>
      </c>
    </row>
    <row r="34" spans="1:32" ht="15.95" thickBot="1">
      <c r="A34" s="34">
        <v>45827</v>
      </c>
      <c r="B34" s="40">
        <v>1</v>
      </c>
      <c r="C34" s="39"/>
      <c r="D34" s="39"/>
      <c r="E34" s="41"/>
      <c r="F34" s="64">
        <f t="shared" si="5"/>
        <v>4</v>
      </c>
      <c r="G34" s="65">
        <f t="shared" si="6"/>
        <v>17.53905179501233</v>
      </c>
      <c r="H34" s="40"/>
      <c r="I34" s="39"/>
      <c r="J34" s="39"/>
      <c r="K34" s="41"/>
      <c r="L34" s="64">
        <f t="shared" si="7"/>
        <v>0</v>
      </c>
      <c r="M34" s="65">
        <f t="shared" si="8"/>
        <v>0</v>
      </c>
      <c r="N34" s="40"/>
      <c r="O34" s="39"/>
      <c r="P34" s="39"/>
      <c r="Q34" s="41"/>
      <c r="R34" s="64">
        <f t="shared" si="9"/>
        <v>0</v>
      </c>
      <c r="S34" s="65">
        <f t="shared" si="10"/>
        <v>0</v>
      </c>
      <c r="T34" s="40"/>
      <c r="U34" s="39"/>
      <c r="V34" s="39"/>
      <c r="W34" s="41"/>
      <c r="X34" s="64">
        <f t="shared" si="11"/>
        <v>0</v>
      </c>
      <c r="Y34" s="65">
        <f t="shared" si="12"/>
        <v>0</v>
      </c>
      <c r="Z34" s="40"/>
      <c r="AA34" s="39"/>
      <c r="AB34" s="39"/>
      <c r="AC34" s="41"/>
      <c r="AD34" s="64">
        <f t="shared" si="13"/>
        <v>0</v>
      </c>
      <c r="AE34" s="65">
        <f t="shared" si="14"/>
        <v>0</v>
      </c>
      <c r="AF34" s="76">
        <f t="shared" si="15"/>
        <v>17.53905179501233</v>
      </c>
    </row>
    <row r="35" spans="1:32" ht="15.95" thickBot="1">
      <c r="A35" s="34">
        <v>45828</v>
      </c>
      <c r="B35" s="40"/>
      <c r="C35" s="39"/>
      <c r="D35" s="39"/>
      <c r="E35" s="41"/>
      <c r="F35" s="64">
        <f t="shared" si="5"/>
        <v>0</v>
      </c>
      <c r="G35" s="65">
        <f t="shared" si="6"/>
        <v>0</v>
      </c>
      <c r="H35" s="40">
        <v>2</v>
      </c>
      <c r="I35" s="39"/>
      <c r="J35" s="39"/>
      <c r="K35" s="41">
        <v>1</v>
      </c>
      <c r="L35" s="64">
        <f t="shared" si="7"/>
        <v>11</v>
      </c>
      <c r="M35" s="65">
        <f t="shared" si="8"/>
        <v>48.232392436283916</v>
      </c>
      <c r="N35" s="40">
        <v>2</v>
      </c>
      <c r="O35" s="39"/>
      <c r="P35" s="39"/>
      <c r="Q35" s="41"/>
      <c r="R35" s="64">
        <f t="shared" si="9"/>
        <v>8</v>
      </c>
      <c r="S35" s="65">
        <f t="shared" si="10"/>
        <v>35.078103590024661</v>
      </c>
      <c r="T35" s="40">
        <v>1</v>
      </c>
      <c r="U35" s="39"/>
      <c r="V35" s="39"/>
      <c r="W35" s="41"/>
      <c r="X35" s="64">
        <f t="shared" si="11"/>
        <v>4</v>
      </c>
      <c r="Y35" s="65">
        <f t="shared" si="12"/>
        <v>17.53905179501233</v>
      </c>
      <c r="Z35" s="40">
        <v>2</v>
      </c>
      <c r="AA35" s="39"/>
      <c r="AB35" s="39"/>
      <c r="AC35" s="41"/>
      <c r="AD35" s="64">
        <f t="shared" si="13"/>
        <v>8</v>
      </c>
      <c r="AE35" s="65">
        <f t="shared" si="14"/>
        <v>35.078103590024661</v>
      </c>
      <c r="AF35" s="76">
        <f t="shared" si="15"/>
        <v>135.92765141134558</v>
      </c>
    </row>
    <row r="36" spans="1:32" ht="15.95" thickBot="1">
      <c r="A36" s="34">
        <v>45829</v>
      </c>
      <c r="B36" s="40"/>
      <c r="C36" s="39"/>
      <c r="D36" s="39"/>
      <c r="E36" s="41"/>
      <c r="F36" s="64">
        <f t="shared" si="5"/>
        <v>0</v>
      </c>
      <c r="G36" s="65">
        <f t="shared" si="6"/>
        <v>0</v>
      </c>
      <c r="H36" s="40">
        <v>2</v>
      </c>
      <c r="I36" s="39">
        <v>1</v>
      </c>
      <c r="J36" s="39"/>
      <c r="K36" s="41">
        <v>1</v>
      </c>
      <c r="L36" s="64">
        <f t="shared" si="7"/>
        <v>17</v>
      </c>
      <c r="M36" s="65">
        <f t="shared" si="8"/>
        <v>74.540970128802414</v>
      </c>
      <c r="N36" s="40">
        <v>1</v>
      </c>
      <c r="O36" s="39">
        <v>1</v>
      </c>
      <c r="P36" s="39"/>
      <c r="Q36" s="41"/>
      <c r="R36" s="64">
        <f t="shared" si="9"/>
        <v>10</v>
      </c>
      <c r="S36" s="65">
        <f t="shared" si="10"/>
        <v>43.847629487530831</v>
      </c>
      <c r="T36" s="40"/>
      <c r="U36" s="39">
        <v>1</v>
      </c>
      <c r="V36" s="39"/>
      <c r="W36" s="41"/>
      <c r="X36" s="64">
        <f t="shared" si="11"/>
        <v>6</v>
      </c>
      <c r="Y36" s="65">
        <f t="shared" si="12"/>
        <v>26.308577692518497</v>
      </c>
      <c r="Z36" s="40">
        <v>2</v>
      </c>
      <c r="AA36" s="39">
        <v>1</v>
      </c>
      <c r="AB36" s="39"/>
      <c r="AC36" s="41">
        <v>1</v>
      </c>
      <c r="AD36" s="64">
        <f t="shared" si="13"/>
        <v>17</v>
      </c>
      <c r="AE36" s="65">
        <f t="shared" si="14"/>
        <v>74.540970128802414</v>
      </c>
      <c r="AF36" s="76">
        <f t="shared" si="15"/>
        <v>219.23814743765416</v>
      </c>
    </row>
    <row r="37" spans="1:32" ht="15.95" thickBot="1">
      <c r="A37" s="34">
        <v>45830</v>
      </c>
      <c r="B37" s="40"/>
      <c r="C37" s="39"/>
      <c r="D37" s="39"/>
      <c r="E37" s="41"/>
      <c r="F37" s="64">
        <f t="shared" si="5"/>
        <v>0</v>
      </c>
      <c r="G37" s="65">
        <f t="shared" si="6"/>
        <v>0</v>
      </c>
      <c r="H37" s="40"/>
      <c r="I37" s="39"/>
      <c r="J37" s="39"/>
      <c r="K37" s="41"/>
      <c r="L37" s="64">
        <f t="shared" si="7"/>
        <v>0</v>
      </c>
      <c r="M37" s="65">
        <f t="shared" si="8"/>
        <v>0</v>
      </c>
      <c r="N37" s="40"/>
      <c r="O37" s="39"/>
      <c r="P37" s="39"/>
      <c r="Q37" s="41"/>
      <c r="R37" s="64">
        <f t="shared" si="9"/>
        <v>0</v>
      </c>
      <c r="S37" s="65">
        <f t="shared" si="10"/>
        <v>0</v>
      </c>
      <c r="T37" s="40"/>
      <c r="U37" s="39"/>
      <c r="V37" s="39"/>
      <c r="W37" s="41"/>
      <c r="X37" s="64">
        <f t="shared" si="11"/>
        <v>0</v>
      </c>
      <c r="Y37" s="65">
        <f t="shared" si="12"/>
        <v>0</v>
      </c>
      <c r="Z37" s="40"/>
      <c r="AA37" s="39"/>
      <c r="AB37" s="39"/>
      <c r="AC37" s="41"/>
      <c r="AD37" s="64">
        <f t="shared" si="13"/>
        <v>0</v>
      </c>
      <c r="AE37" s="65">
        <f t="shared" si="14"/>
        <v>0</v>
      </c>
      <c r="AF37" s="76">
        <f t="shared" si="15"/>
        <v>0</v>
      </c>
    </row>
    <row r="38" spans="1:32" ht="15.95" thickBot="1">
      <c r="A38" s="34">
        <v>45831</v>
      </c>
      <c r="B38" s="40">
        <v>2</v>
      </c>
      <c r="C38" s="39">
        <v>2</v>
      </c>
      <c r="D38" s="39"/>
      <c r="E38" s="41">
        <v>1</v>
      </c>
      <c r="F38" s="64">
        <f t="shared" si="5"/>
        <v>23</v>
      </c>
      <c r="G38" s="65">
        <f t="shared" si="6"/>
        <v>100.84954782132091</v>
      </c>
      <c r="H38" s="40">
        <v>2</v>
      </c>
      <c r="I38" s="39">
        <v>1</v>
      </c>
      <c r="J38" s="39"/>
      <c r="K38" s="41">
        <v>1</v>
      </c>
      <c r="L38" s="64">
        <f t="shared" si="7"/>
        <v>17</v>
      </c>
      <c r="M38" s="65">
        <f t="shared" si="8"/>
        <v>74.540970128802414</v>
      </c>
      <c r="N38" s="40">
        <v>1</v>
      </c>
      <c r="O38" s="39">
        <v>1</v>
      </c>
      <c r="P38" s="39"/>
      <c r="Q38" s="41">
        <v>1</v>
      </c>
      <c r="R38" s="64">
        <f t="shared" si="9"/>
        <v>13</v>
      </c>
      <c r="S38" s="65">
        <f t="shared" si="10"/>
        <v>57.00191833379008</v>
      </c>
      <c r="T38" s="40">
        <v>3</v>
      </c>
      <c r="U38" s="39">
        <v>1</v>
      </c>
      <c r="V38" s="39"/>
      <c r="W38" s="41">
        <v>1</v>
      </c>
      <c r="X38" s="64">
        <f t="shared" si="11"/>
        <v>21</v>
      </c>
      <c r="Y38" s="65">
        <f t="shared" si="12"/>
        <v>92.080021923814741</v>
      </c>
      <c r="Z38" s="40"/>
      <c r="AA38" s="39">
        <v>1</v>
      </c>
      <c r="AB38" s="39"/>
      <c r="AC38" s="41">
        <v>1</v>
      </c>
      <c r="AD38" s="64">
        <f t="shared" si="13"/>
        <v>9</v>
      </c>
      <c r="AE38" s="65">
        <f t="shared" si="14"/>
        <v>39.462866538777746</v>
      </c>
      <c r="AF38" s="76">
        <f t="shared" si="15"/>
        <v>363.9353247465059</v>
      </c>
    </row>
    <row r="39" spans="1:32" ht="15.95" thickBot="1">
      <c r="A39" s="34">
        <v>45832</v>
      </c>
      <c r="B39" s="40"/>
      <c r="C39" s="39"/>
      <c r="D39" s="39"/>
      <c r="E39" s="41"/>
      <c r="F39" s="64">
        <f t="shared" si="5"/>
        <v>0</v>
      </c>
      <c r="G39" s="65">
        <f t="shared" si="6"/>
        <v>0</v>
      </c>
      <c r="H39" s="40"/>
      <c r="I39" s="39"/>
      <c r="J39" s="39"/>
      <c r="K39" s="41"/>
      <c r="L39" s="64">
        <f t="shared" si="7"/>
        <v>0</v>
      </c>
      <c r="M39" s="65">
        <f t="shared" si="8"/>
        <v>0</v>
      </c>
      <c r="N39" s="40">
        <v>2</v>
      </c>
      <c r="O39" s="39">
        <v>1</v>
      </c>
      <c r="P39" s="39"/>
      <c r="Q39" s="41">
        <v>1</v>
      </c>
      <c r="R39" s="64">
        <f t="shared" si="9"/>
        <v>17</v>
      </c>
      <c r="S39" s="65">
        <f t="shared" si="10"/>
        <v>74.540970128802414</v>
      </c>
      <c r="T39" s="40"/>
      <c r="U39" s="39"/>
      <c r="V39" s="39"/>
      <c r="W39" s="41"/>
      <c r="X39" s="64">
        <f t="shared" si="11"/>
        <v>0</v>
      </c>
      <c r="Y39" s="65">
        <f t="shared" si="12"/>
        <v>0</v>
      </c>
      <c r="Z39" s="40">
        <v>2</v>
      </c>
      <c r="AA39" s="39">
        <v>2</v>
      </c>
      <c r="AB39" s="39"/>
      <c r="AC39" s="41">
        <v>1</v>
      </c>
      <c r="AD39" s="64">
        <f t="shared" si="13"/>
        <v>23</v>
      </c>
      <c r="AE39" s="65">
        <f t="shared" si="14"/>
        <v>100.84954782132091</v>
      </c>
      <c r="AF39" s="76">
        <f t="shared" si="15"/>
        <v>175.39051795012332</v>
      </c>
    </row>
    <row r="40" spans="1:32" ht="15.95" thickBot="1">
      <c r="A40" s="34">
        <v>45833</v>
      </c>
      <c r="B40" s="40"/>
      <c r="C40" s="39"/>
      <c r="D40" s="39"/>
      <c r="E40" s="41"/>
      <c r="F40" s="64">
        <f t="shared" si="5"/>
        <v>0</v>
      </c>
      <c r="G40" s="65">
        <f t="shared" si="6"/>
        <v>0</v>
      </c>
      <c r="H40" s="40">
        <v>2</v>
      </c>
      <c r="I40" s="39">
        <v>1</v>
      </c>
      <c r="J40" s="39"/>
      <c r="K40" s="41">
        <v>1</v>
      </c>
      <c r="L40" s="64">
        <f t="shared" si="7"/>
        <v>17</v>
      </c>
      <c r="M40" s="65">
        <f t="shared" si="8"/>
        <v>74.540970128802414</v>
      </c>
      <c r="N40" s="40">
        <v>2</v>
      </c>
      <c r="O40" s="39">
        <v>2</v>
      </c>
      <c r="P40" s="39"/>
      <c r="Q40" s="41"/>
      <c r="R40" s="64">
        <f t="shared" si="9"/>
        <v>20</v>
      </c>
      <c r="S40" s="65">
        <f t="shared" si="10"/>
        <v>87.695258975061662</v>
      </c>
      <c r="T40" s="40">
        <v>3</v>
      </c>
      <c r="U40" s="39">
        <v>1</v>
      </c>
      <c r="V40" s="39"/>
      <c r="W40" s="41">
        <v>1</v>
      </c>
      <c r="X40" s="64">
        <f t="shared" si="11"/>
        <v>21</v>
      </c>
      <c r="Y40" s="65">
        <f t="shared" si="12"/>
        <v>92.080021923814741</v>
      </c>
      <c r="Z40" s="40">
        <v>2</v>
      </c>
      <c r="AA40" s="39">
        <v>1</v>
      </c>
      <c r="AB40" s="39"/>
      <c r="AC40" s="41">
        <v>1</v>
      </c>
      <c r="AD40" s="64">
        <f t="shared" si="13"/>
        <v>17</v>
      </c>
      <c r="AE40" s="65">
        <f t="shared" si="14"/>
        <v>74.540970128802414</v>
      </c>
      <c r="AF40" s="76">
        <f t="shared" si="15"/>
        <v>328.85722115648122</v>
      </c>
    </row>
    <row r="41" spans="1:32" ht="15.95" thickBot="1">
      <c r="A41" s="34">
        <v>45834</v>
      </c>
      <c r="B41" s="40">
        <v>1</v>
      </c>
      <c r="C41" s="39">
        <v>1</v>
      </c>
      <c r="D41" s="39"/>
      <c r="E41" s="41"/>
      <c r="F41" s="64">
        <f t="shared" si="5"/>
        <v>10</v>
      </c>
      <c r="G41" s="65">
        <f t="shared" si="6"/>
        <v>43.847629487530831</v>
      </c>
      <c r="H41" s="40">
        <v>2</v>
      </c>
      <c r="I41" s="39">
        <v>1</v>
      </c>
      <c r="J41" s="39"/>
      <c r="K41" s="41"/>
      <c r="L41" s="64">
        <f t="shared" si="7"/>
        <v>14</v>
      </c>
      <c r="M41" s="65">
        <f t="shared" si="8"/>
        <v>61.386681282543165</v>
      </c>
      <c r="N41" s="40">
        <v>2</v>
      </c>
      <c r="O41" s="39">
        <v>1</v>
      </c>
      <c r="P41" s="39"/>
      <c r="Q41" s="41">
        <v>1</v>
      </c>
      <c r="R41" s="64">
        <f t="shared" si="9"/>
        <v>17</v>
      </c>
      <c r="S41" s="65">
        <f t="shared" si="10"/>
        <v>74.540970128802414</v>
      </c>
      <c r="T41" s="40">
        <v>1</v>
      </c>
      <c r="U41" s="39"/>
      <c r="V41" s="39"/>
      <c r="W41" s="41"/>
      <c r="X41" s="64">
        <f t="shared" si="11"/>
        <v>4</v>
      </c>
      <c r="Y41" s="65">
        <f t="shared" si="12"/>
        <v>17.53905179501233</v>
      </c>
      <c r="Z41" s="40">
        <v>5</v>
      </c>
      <c r="AA41" s="39">
        <v>2</v>
      </c>
      <c r="AB41" s="39">
        <v>2</v>
      </c>
      <c r="AC41" s="41">
        <v>1</v>
      </c>
      <c r="AD41" s="64">
        <f t="shared" si="13"/>
        <v>43</v>
      </c>
      <c r="AE41" s="65">
        <f t="shared" si="14"/>
        <v>188.54480679638257</v>
      </c>
      <c r="AF41" s="76">
        <f t="shared" si="15"/>
        <v>385.85913949027128</v>
      </c>
    </row>
    <row r="42" spans="1:32" ht="15.95" thickBot="1">
      <c r="A42" s="34">
        <v>45835</v>
      </c>
      <c r="B42" s="40">
        <v>1</v>
      </c>
      <c r="C42" s="39">
        <v>2</v>
      </c>
      <c r="D42" s="39"/>
      <c r="E42" s="41">
        <v>1</v>
      </c>
      <c r="F42" s="64">
        <f t="shared" si="5"/>
        <v>19</v>
      </c>
      <c r="G42" s="65">
        <f t="shared" si="6"/>
        <v>83.310496026308584</v>
      </c>
      <c r="H42" s="40">
        <v>2</v>
      </c>
      <c r="I42" s="39">
        <v>1</v>
      </c>
      <c r="J42" s="39"/>
      <c r="K42" s="41">
        <v>1</v>
      </c>
      <c r="L42" s="64">
        <f t="shared" si="7"/>
        <v>17</v>
      </c>
      <c r="M42" s="65">
        <f t="shared" si="8"/>
        <v>74.540970128802414</v>
      </c>
      <c r="N42" s="40">
        <v>2</v>
      </c>
      <c r="O42" s="39">
        <v>1</v>
      </c>
      <c r="P42" s="39"/>
      <c r="Q42" s="41">
        <v>1</v>
      </c>
      <c r="R42" s="64">
        <f t="shared" si="9"/>
        <v>17</v>
      </c>
      <c r="S42" s="65">
        <f t="shared" si="10"/>
        <v>74.540970128802414</v>
      </c>
      <c r="T42" s="40"/>
      <c r="U42" s="39"/>
      <c r="V42" s="39"/>
      <c r="W42" s="41"/>
      <c r="X42" s="64">
        <f t="shared" si="11"/>
        <v>0</v>
      </c>
      <c r="Y42" s="65">
        <f t="shared" si="12"/>
        <v>0</v>
      </c>
      <c r="Z42" s="40"/>
      <c r="AA42" s="39"/>
      <c r="AB42" s="39"/>
      <c r="AC42" s="41"/>
      <c r="AD42" s="64">
        <f t="shared" si="13"/>
        <v>0</v>
      </c>
      <c r="AE42" s="65">
        <f t="shared" si="14"/>
        <v>0</v>
      </c>
      <c r="AF42" s="76">
        <f t="shared" si="15"/>
        <v>232.39243628391341</v>
      </c>
    </row>
    <row r="43" spans="1:32" ht="15.95" thickBot="1">
      <c r="A43" s="34">
        <v>45836</v>
      </c>
      <c r="B43" s="40"/>
      <c r="C43" s="39"/>
      <c r="D43" s="39"/>
      <c r="E43" s="41"/>
      <c r="F43" s="64">
        <f t="shared" si="5"/>
        <v>0</v>
      </c>
      <c r="G43" s="65">
        <f t="shared" si="6"/>
        <v>0</v>
      </c>
      <c r="H43" s="40">
        <v>2</v>
      </c>
      <c r="I43" s="39">
        <v>1</v>
      </c>
      <c r="J43" s="39"/>
      <c r="K43" s="41"/>
      <c r="L43" s="64">
        <f t="shared" si="7"/>
        <v>14</v>
      </c>
      <c r="M43" s="65">
        <f t="shared" si="8"/>
        <v>61.386681282543165</v>
      </c>
      <c r="N43" s="40">
        <v>2</v>
      </c>
      <c r="O43" s="39">
        <v>1</v>
      </c>
      <c r="P43" s="39"/>
      <c r="Q43" s="41">
        <v>1</v>
      </c>
      <c r="R43" s="64">
        <f t="shared" si="9"/>
        <v>17</v>
      </c>
      <c r="S43" s="65">
        <f t="shared" si="10"/>
        <v>74.540970128802414</v>
      </c>
      <c r="T43" s="40">
        <v>3</v>
      </c>
      <c r="U43" s="39">
        <v>1</v>
      </c>
      <c r="V43" s="39"/>
      <c r="W43" s="41">
        <v>1</v>
      </c>
      <c r="X43" s="64">
        <f t="shared" si="11"/>
        <v>21</v>
      </c>
      <c r="Y43" s="65">
        <f t="shared" si="12"/>
        <v>92.080021923814741</v>
      </c>
      <c r="Z43" s="40">
        <v>1</v>
      </c>
      <c r="AA43" s="39"/>
      <c r="AB43" s="39"/>
      <c r="AC43" s="41"/>
      <c r="AD43" s="64">
        <f t="shared" si="13"/>
        <v>4</v>
      </c>
      <c r="AE43" s="65">
        <f t="shared" si="14"/>
        <v>17.53905179501233</v>
      </c>
      <c r="AF43" s="76">
        <f t="shared" si="15"/>
        <v>245.54672513017266</v>
      </c>
    </row>
    <row r="44" spans="1:32" ht="15.95" thickBot="1">
      <c r="A44" s="34">
        <v>45837</v>
      </c>
      <c r="B44" s="40"/>
      <c r="C44" s="39"/>
      <c r="D44" s="39"/>
      <c r="E44" s="41"/>
      <c r="F44" s="64">
        <f t="shared" si="5"/>
        <v>0</v>
      </c>
      <c r="G44" s="65">
        <f t="shared" si="6"/>
        <v>0</v>
      </c>
      <c r="H44" s="40"/>
      <c r="I44" s="39"/>
      <c r="J44" s="39"/>
      <c r="K44" s="41"/>
      <c r="L44" s="64">
        <f t="shared" si="7"/>
        <v>0</v>
      </c>
      <c r="M44" s="65">
        <f t="shared" si="8"/>
        <v>0</v>
      </c>
      <c r="N44" s="40"/>
      <c r="O44" s="39"/>
      <c r="P44" s="39"/>
      <c r="Q44" s="41"/>
      <c r="R44" s="64">
        <f t="shared" si="9"/>
        <v>0</v>
      </c>
      <c r="S44" s="65">
        <f t="shared" si="10"/>
        <v>0</v>
      </c>
      <c r="T44" s="40"/>
      <c r="U44" s="39"/>
      <c r="V44" s="39"/>
      <c r="W44" s="41"/>
      <c r="X44" s="64">
        <f t="shared" si="11"/>
        <v>0</v>
      </c>
      <c r="Y44" s="65">
        <f t="shared" si="12"/>
        <v>0</v>
      </c>
      <c r="Z44" s="40"/>
      <c r="AA44" s="39"/>
      <c r="AB44" s="39"/>
      <c r="AC44" s="41"/>
      <c r="AD44" s="64">
        <f t="shared" si="13"/>
        <v>0</v>
      </c>
      <c r="AE44" s="65">
        <f t="shared" si="14"/>
        <v>0</v>
      </c>
      <c r="AF44" s="76">
        <f t="shared" si="15"/>
        <v>0</v>
      </c>
    </row>
    <row r="45" spans="1:32" ht="15.95" thickBot="1">
      <c r="A45" s="34">
        <v>45838</v>
      </c>
      <c r="B45" s="40">
        <v>1</v>
      </c>
      <c r="C45" s="39">
        <v>2</v>
      </c>
      <c r="D45" s="39"/>
      <c r="E45" s="41">
        <v>1</v>
      </c>
      <c r="F45" s="64">
        <f t="shared" si="5"/>
        <v>19</v>
      </c>
      <c r="G45" s="65">
        <f t="shared" si="6"/>
        <v>83.310496026308584</v>
      </c>
      <c r="H45" s="40">
        <v>2</v>
      </c>
      <c r="I45" s="39">
        <v>1</v>
      </c>
      <c r="J45" s="39"/>
      <c r="K45" s="41"/>
      <c r="L45" s="64">
        <f t="shared" si="7"/>
        <v>14</v>
      </c>
      <c r="M45" s="65">
        <f t="shared" si="8"/>
        <v>61.386681282543165</v>
      </c>
      <c r="N45" s="40"/>
      <c r="O45" s="39"/>
      <c r="P45" s="39"/>
      <c r="Q45" s="41"/>
      <c r="R45" s="64">
        <f t="shared" si="9"/>
        <v>0</v>
      </c>
      <c r="S45" s="65">
        <f t="shared" si="10"/>
        <v>0</v>
      </c>
      <c r="T45" s="40"/>
      <c r="U45" s="39"/>
      <c r="V45" s="39"/>
      <c r="W45" s="41"/>
      <c r="X45" s="64">
        <f t="shared" si="11"/>
        <v>0</v>
      </c>
      <c r="Y45" s="65">
        <f t="shared" si="12"/>
        <v>0</v>
      </c>
      <c r="Z45" s="40">
        <v>1</v>
      </c>
      <c r="AA45" s="39">
        <v>1</v>
      </c>
      <c r="AB45" s="39"/>
      <c r="AC45" s="41"/>
      <c r="AD45" s="64">
        <f t="shared" si="13"/>
        <v>10</v>
      </c>
      <c r="AE45" s="65">
        <f t="shared" si="14"/>
        <v>43.847629487530831</v>
      </c>
      <c r="AF45" s="100">
        <f t="shared" si="15"/>
        <v>188.54480679638257</v>
      </c>
    </row>
    <row r="46" spans="1:32" ht="18.600000000000001">
      <c r="G46" s="111">
        <f>SUM(G16:G45)</f>
        <v>850.64401205809816</v>
      </c>
      <c r="M46" s="111">
        <f>SUM(M16:M45)</f>
        <v>1372.430802959715</v>
      </c>
      <c r="S46" s="111">
        <f>SUM(S16:S45)</f>
        <v>1319.813647574678</v>
      </c>
      <c r="Y46" s="111">
        <f>SUM(Y16:Y45)</f>
        <v>1021.6497670594683</v>
      </c>
      <c r="AE46" s="111">
        <f>SUM(AE16:AE45)</f>
        <v>1302.2745957796656</v>
      </c>
      <c r="AF46" s="102">
        <f>SUM(AF16:AF45)</f>
        <v>5866.8128254316252</v>
      </c>
    </row>
    <row r="51" spans="3:9" ht="43.5">
      <c r="C51" s="133" t="s">
        <v>7</v>
      </c>
      <c r="D51" s="135" t="s">
        <v>110</v>
      </c>
      <c r="E51" s="135" t="s">
        <v>111</v>
      </c>
      <c r="F51" s="136" t="s">
        <v>112</v>
      </c>
      <c r="G51" s="136" t="s">
        <v>113</v>
      </c>
      <c r="H51" s="134" t="s">
        <v>114</v>
      </c>
      <c r="I51" s="135" t="s">
        <v>115</v>
      </c>
    </row>
    <row r="52" spans="3:9">
      <c r="C52" s="138" t="s">
        <v>12</v>
      </c>
      <c r="D52" s="137">
        <v>644.47340000000008</v>
      </c>
      <c r="E52" s="137">
        <v>850.64401205809816</v>
      </c>
      <c r="F52" s="130">
        <v>0.75762997313144331</v>
      </c>
      <c r="G52" s="130">
        <v>0.62170837373305843</v>
      </c>
      <c r="H52" s="137">
        <v>9252.1928000000007</v>
      </c>
      <c r="I52" s="137">
        <v>14881.885448067964</v>
      </c>
    </row>
    <row r="53" spans="3:9">
      <c r="C53" s="138" t="s">
        <v>13</v>
      </c>
      <c r="D53" s="137">
        <v>1266.5906000000002</v>
      </c>
      <c r="E53" s="137">
        <v>1311.0441216771719</v>
      </c>
      <c r="F53" s="130">
        <v>0.96609303917224087</v>
      </c>
      <c r="G53" s="130">
        <v>0.75657450979706986</v>
      </c>
      <c r="H53" s="137">
        <v>10104.800029999999</v>
      </c>
      <c r="I53" s="137">
        <v>13355.987941901891</v>
      </c>
    </row>
    <row r="54" spans="3:9">
      <c r="C54" s="138" t="s">
        <v>14</v>
      </c>
      <c r="D54" s="137">
        <v>1014.3561</v>
      </c>
      <c r="E54" s="137">
        <v>1245.2726774458756</v>
      </c>
      <c r="F54" s="130">
        <v>0.81456545090228871</v>
      </c>
      <c r="G54" s="130">
        <v>0.46932393260311955</v>
      </c>
      <c r="H54" s="137">
        <v>5936.9670399999995</v>
      </c>
      <c r="I54" s="137">
        <v>12650.041107152645</v>
      </c>
    </row>
    <row r="55" spans="3:9">
      <c r="C55" s="138" t="s">
        <v>15</v>
      </c>
      <c r="D55" s="137">
        <v>158.0069</v>
      </c>
      <c r="E55" s="137">
        <v>929.56974513565353</v>
      </c>
      <c r="F55" s="130">
        <v>0.16997853127948115</v>
      </c>
      <c r="G55" s="130">
        <v>0.48009369990517681</v>
      </c>
      <c r="H55" s="137">
        <v>6007.9470299999984</v>
      </c>
      <c r="I55" s="137">
        <v>12514.113455741299</v>
      </c>
    </row>
    <row r="56" spans="3:9">
      <c r="C56" s="138" t="s">
        <v>16</v>
      </c>
      <c r="D56" s="137">
        <v>1346.5678799999991</v>
      </c>
      <c r="E56" s="137">
        <v>1284.7355439846533</v>
      </c>
      <c r="F56" s="130">
        <v>1.0481284543771325</v>
      </c>
      <c r="G56" s="130">
        <v>0.78165327882844349</v>
      </c>
      <c r="H56" s="137">
        <v>8410.7520800000002</v>
      </c>
      <c r="I56" s="137">
        <v>10760.208276240064</v>
      </c>
    </row>
    <row r="57" spans="3:9">
      <c r="C57" s="138" t="s">
        <v>17</v>
      </c>
      <c r="D57" s="137">
        <v>4429.9948799999993</v>
      </c>
      <c r="E57" s="137">
        <v>5621.2661003014528</v>
      </c>
      <c r="F57" s="130">
        <v>0.7880777748205926</v>
      </c>
      <c r="G57" s="130">
        <v>0.61894131679260911</v>
      </c>
      <c r="H57" s="137">
        <v>39712.65898</v>
      </c>
      <c r="I57" s="137">
        <v>64162.236229103873</v>
      </c>
    </row>
    <row r="74" spans="4:15" ht="15.95" thickBot="1">
      <c r="K74" s="73" t="s">
        <v>8</v>
      </c>
      <c r="L74" s="74" t="s">
        <v>9</v>
      </c>
      <c r="M74" s="74" t="s">
        <v>10</v>
      </c>
      <c r="N74" s="75" t="s">
        <v>11</v>
      </c>
      <c r="O74" s="75" t="s">
        <v>116</v>
      </c>
    </row>
    <row r="75" spans="4:15">
      <c r="K75" s="137">
        <v>17.53905179501233</v>
      </c>
      <c r="L75" s="137">
        <v>26.308577692518497</v>
      </c>
      <c r="M75" s="137">
        <v>17.53905179501233</v>
      </c>
      <c r="N75" s="137">
        <v>13.154288846259249</v>
      </c>
      <c r="O75" s="57">
        <f>SUM(K75:N75)</f>
        <v>74.5409701288024</v>
      </c>
    </row>
    <row r="76" spans="4:15">
      <c r="O76" s="57"/>
    </row>
    <row r="77" spans="4:15">
      <c r="E77" s="31" t="s">
        <v>117</v>
      </c>
      <c r="F77" s="57">
        <f>G12-G79</f>
        <v>3341.1893669498495</v>
      </c>
    </row>
    <row r="79" spans="4:15">
      <c r="E79" s="139" t="s">
        <v>118</v>
      </c>
      <c r="F79" s="139" t="s">
        <v>119</v>
      </c>
      <c r="G79" s="57">
        <f>SUM(G80:G149)</f>
        <v>8629.213483146068</v>
      </c>
      <c r="H79" s="31" t="s">
        <v>120</v>
      </c>
    </row>
    <row r="80" spans="4:15">
      <c r="D80" s="31" t="s">
        <v>110</v>
      </c>
      <c r="G80" s="57">
        <f>M11</f>
        <v>5866.8128254316252</v>
      </c>
    </row>
    <row r="81" spans="4:7">
      <c r="D81" s="31" t="s">
        <v>121</v>
      </c>
      <c r="E81" s="139">
        <v>6</v>
      </c>
      <c r="F81" s="140">
        <v>460.4001096190737</v>
      </c>
      <c r="G81" s="57">
        <f>E81*F81</f>
        <v>2762.4006577144423</v>
      </c>
    </row>
    <row r="82" spans="4:7">
      <c r="D82" s="31" t="s">
        <v>122</v>
      </c>
      <c r="E82" s="139">
        <v>2</v>
      </c>
    </row>
    <row r="83" spans="4:7">
      <c r="D83" s="31" t="s">
        <v>123</v>
      </c>
      <c r="E83" s="139">
        <v>3</v>
      </c>
    </row>
    <row r="84" spans="4:7">
      <c r="D84" s="31" t="s">
        <v>124</v>
      </c>
      <c r="E84" s="139">
        <v>2</v>
      </c>
    </row>
    <row r="85" spans="4:7">
      <c r="D85" s="31" t="s">
        <v>125</v>
      </c>
      <c r="E85" s="139"/>
    </row>
    <row r="86" spans="4:7">
      <c r="D86" s="31" t="s">
        <v>126</v>
      </c>
      <c r="E86" s="139"/>
    </row>
    <row r="87" spans="4:7">
      <c r="D87" s="31" t="s">
        <v>127</v>
      </c>
      <c r="E87" s="139"/>
    </row>
    <row r="88" spans="4:7">
      <c r="D88" s="31" t="s">
        <v>128</v>
      </c>
      <c r="E88" s="139"/>
    </row>
    <row r="89" spans="4:7">
      <c r="D89" s="31" t="s">
        <v>129</v>
      </c>
      <c r="E89" s="139"/>
    </row>
    <row r="90" spans="4:7">
      <c r="E90" s="139"/>
    </row>
    <row r="91" spans="4:7">
      <c r="E91" s="139"/>
    </row>
    <row r="92" spans="4:7">
      <c r="E92" s="139"/>
    </row>
    <row r="93" spans="4:7">
      <c r="E93" s="139"/>
    </row>
    <row r="94" spans="4:7">
      <c r="E94" s="139"/>
    </row>
    <row r="95" spans="4:7">
      <c r="E95" s="139"/>
    </row>
    <row r="96" spans="4:7">
      <c r="E96" s="139"/>
    </row>
    <row r="97" spans="5:5">
      <c r="E97" s="139"/>
    </row>
    <row r="98" spans="5:5">
      <c r="E98" s="139"/>
    </row>
  </sheetData>
  <mergeCells count="26">
    <mergeCell ref="B2:E2"/>
    <mergeCell ref="F2:F3"/>
    <mergeCell ref="G2:G3"/>
    <mergeCell ref="H2:H3"/>
    <mergeCell ref="I2:I3"/>
    <mergeCell ref="N13:S13"/>
    <mergeCell ref="T13:Y13"/>
    <mergeCell ref="Z13:AE13"/>
    <mergeCell ref="AF13:AF15"/>
    <mergeCell ref="B14:E14"/>
    <mergeCell ref="F14:F15"/>
    <mergeCell ref="G14:G15"/>
    <mergeCell ref="H14:K14"/>
    <mergeCell ref="L14:L15"/>
    <mergeCell ref="M14:M15"/>
    <mergeCell ref="B13:G13"/>
    <mergeCell ref="H13:M13"/>
    <mergeCell ref="Z14:AC14"/>
    <mergeCell ref="AD14:AD15"/>
    <mergeCell ref="AE14:AE15"/>
    <mergeCell ref="N14:Q14"/>
    <mergeCell ref="R14:R15"/>
    <mergeCell ref="S14:S15"/>
    <mergeCell ref="T14:W14"/>
    <mergeCell ref="X14:X15"/>
    <mergeCell ref="Y14:Y15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311F-E155-495F-86D7-AA2835AF4894}">
  <dimension ref="A1:AF64"/>
  <sheetViews>
    <sheetView zoomScale="70" zoomScaleNormal="70" workbookViewId="0">
      <pane xSplit="1" topLeftCell="B1" activePane="topRight" state="frozen"/>
      <selection pane="topRight" activeCell="M11" sqref="M11"/>
    </sheetView>
  </sheetViews>
  <sheetFormatPr defaultColWidth="8.7109375" defaultRowHeight="15.6"/>
  <cols>
    <col min="1" max="1" width="26.85546875" style="32" customWidth="1"/>
    <col min="2" max="2" width="9.140625" style="31" bestFit="1" customWidth="1"/>
    <col min="3" max="3" width="12.140625" style="31" customWidth="1"/>
    <col min="4" max="4" width="22.42578125" style="31" customWidth="1"/>
    <col min="5" max="5" width="10.85546875" style="31" bestFit="1" customWidth="1"/>
    <col min="6" max="6" width="11.85546875" style="31" customWidth="1"/>
    <col min="7" max="7" width="12.42578125" style="31" customWidth="1"/>
    <col min="8" max="8" width="11.85546875" style="31" customWidth="1"/>
    <col min="9" max="9" width="11.5703125" style="31" customWidth="1"/>
    <col min="10" max="11" width="9.140625" style="31"/>
    <col min="12" max="12" width="13.85546875" style="31" customWidth="1"/>
    <col min="13" max="13" width="10.42578125" style="31" customWidth="1"/>
    <col min="14" max="14" width="11.140625" style="31" customWidth="1"/>
    <col min="15" max="15" width="12.5703125" style="31" customWidth="1"/>
    <col min="16" max="16" width="9.85546875" style="31" customWidth="1"/>
    <col min="17" max="17" width="9.140625" style="31"/>
    <col min="18" max="18" width="10.85546875" style="31" customWidth="1"/>
    <col min="19" max="19" width="10.5703125" style="31" customWidth="1"/>
    <col min="20" max="23" width="9.140625" style="31"/>
    <col min="24" max="24" width="10.5703125" style="31" customWidth="1"/>
    <col min="25" max="25" width="11.42578125" style="31" customWidth="1"/>
    <col min="26" max="29" width="9.140625" style="31"/>
    <col min="30" max="30" width="11.28515625" style="31" customWidth="1"/>
    <col min="31" max="31" width="9.85546875" style="31" customWidth="1"/>
    <col min="32" max="32" width="14.85546875" style="59" customWidth="1"/>
    <col min="33" max="16384" width="8.7109375" style="31"/>
  </cols>
  <sheetData>
    <row r="1" spans="1:32">
      <c r="A1" s="45" t="s">
        <v>0</v>
      </c>
    </row>
    <row r="2" spans="1:32" ht="22.5" customHeight="1">
      <c r="A2" s="25" t="s">
        <v>59</v>
      </c>
      <c r="B2" s="177" t="s">
        <v>2</v>
      </c>
      <c r="C2" s="178"/>
      <c r="D2" s="178"/>
      <c r="E2" s="178"/>
      <c r="F2" s="181" t="s">
        <v>3</v>
      </c>
      <c r="G2" s="179" t="s">
        <v>4</v>
      </c>
      <c r="H2" s="181" t="s">
        <v>5</v>
      </c>
      <c r="I2" s="181" t="s">
        <v>6</v>
      </c>
    </row>
    <row r="3" spans="1:32" ht="23.45" customHeight="1">
      <c r="A3" s="26" t="s">
        <v>7</v>
      </c>
      <c r="B3" s="124" t="s">
        <v>8</v>
      </c>
      <c r="C3" s="125" t="s">
        <v>9</v>
      </c>
      <c r="D3" s="125" t="s">
        <v>10</v>
      </c>
      <c r="E3" s="126" t="s">
        <v>11</v>
      </c>
      <c r="F3" s="208"/>
      <c r="G3" s="209"/>
      <c r="H3" s="208"/>
      <c r="I3" s="208"/>
      <c r="L3" s="72" t="s">
        <v>130</v>
      </c>
    </row>
    <row r="4" spans="1:32">
      <c r="A4" s="120" t="s">
        <v>12</v>
      </c>
      <c r="B4" s="121">
        <v>3</v>
      </c>
      <c r="C4" s="8">
        <v>1</v>
      </c>
      <c r="D4" s="8">
        <v>1</v>
      </c>
      <c r="E4" s="8">
        <v>1</v>
      </c>
      <c r="F4" s="122">
        <f>(B4*4)+(C4*6)+(D4*4)+(E4*3)</f>
        <v>25</v>
      </c>
      <c r="G4" s="123">
        <f>($F4*8*26)/1.8245</f>
        <v>2850.0959166895041</v>
      </c>
      <c r="H4" s="20">
        <f>G4/4</f>
        <v>712.52397917237602</v>
      </c>
      <c r="I4" s="123">
        <f>($F4*8)/1.8245</f>
        <v>109.61907371882708</v>
      </c>
      <c r="J4" s="130"/>
      <c r="L4" s="31" t="s">
        <v>12</v>
      </c>
      <c r="M4" s="111">
        <f>SUM(G16:G46)</f>
        <v>1289.1203069334065</v>
      </c>
      <c r="O4" s="57"/>
    </row>
    <row r="5" spans="1:32">
      <c r="A5" s="120" t="s">
        <v>13</v>
      </c>
      <c r="B5" s="127">
        <v>2</v>
      </c>
      <c r="C5" s="7">
        <v>1</v>
      </c>
      <c r="D5" s="8">
        <v>1</v>
      </c>
      <c r="E5" s="7">
        <v>1</v>
      </c>
      <c r="F5" s="122">
        <f>(B5*4)+(C5*6)+(D5*4)+(E5*3)</f>
        <v>21</v>
      </c>
      <c r="G5" s="123">
        <f>($F5*8*26)/1.8245</f>
        <v>2394.0805700191831</v>
      </c>
      <c r="H5" s="20">
        <f>G5/4</f>
        <v>598.52014250479579</v>
      </c>
      <c r="I5" s="123">
        <f>($F5*8)/1.8245</f>
        <v>92.080021923814741</v>
      </c>
      <c r="J5" s="130"/>
      <c r="L5" s="31" t="s">
        <v>20</v>
      </c>
      <c r="M5" s="111">
        <f>SUM(M16:M46)</f>
        <v>1565.3603727048505</v>
      </c>
      <c r="O5" s="57"/>
    </row>
    <row r="6" spans="1:32">
      <c r="A6" s="120" t="s">
        <v>14</v>
      </c>
      <c r="B6" s="121">
        <v>2</v>
      </c>
      <c r="C6" s="8">
        <v>1</v>
      </c>
      <c r="D6" s="8">
        <v>1</v>
      </c>
      <c r="E6" s="8">
        <v>1</v>
      </c>
      <c r="F6" s="122">
        <f>(B6*4)+(C6*6)+(D6*4)+(E6*3)</f>
        <v>21</v>
      </c>
      <c r="G6" s="123">
        <f>($F6*8*26)/1.8245</f>
        <v>2394.0805700191831</v>
      </c>
      <c r="H6" s="20">
        <f>G6/4</f>
        <v>598.52014250479579</v>
      </c>
      <c r="I6" s="123">
        <f>($F6*8)/1.8245</f>
        <v>92.080021923814741</v>
      </c>
      <c r="J6" s="130"/>
      <c r="L6" s="31" t="s">
        <v>14</v>
      </c>
      <c r="M6" s="111">
        <f>SUM(S16:S46)</f>
        <v>855.02877500685133</v>
      </c>
      <c r="O6" s="58"/>
    </row>
    <row r="7" spans="1:32">
      <c r="A7" s="120" t="s">
        <v>15</v>
      </c>
      <c r="B7" s="127">
        <v>2</v>
      </c>
      <c r="C7" s="12">
        <v>1</v>
      </c>
      <c r="D7" s="8">
        <v>1</v>
      </c>
      <c r="E7" s="8">
        <v>1</v>
      </c>
      <c r="F7" s="122">
        <f>(B7*4)+(C7*6)+(D7*4)+(E7*3)</f>
        <v>21</v>
      </c>
      <c r="G7" s="123">
        <f>($F7*8*26)/1.8245</f>
        <v>2394.0805700191831</v>
      </c>
      <c r="H7" s="20">
        <f>G7/4</f>
        <v>598.52014250479579</v>
      </c>
      <c r="I7" s="123">
        <f>($F7*8)/1.8245</f>
        <v>92.080021923814741</v>
      </c>
      <c r="J7" s="130"/>
      <c r="L7" s="31" t="s">
        <v>15</v>
      </c>
      <c r="M7" s="111">
        <f>SUM(Y16:Y46)</f>
        <v>1753.9051795012331</v>
      </c>
      <c r="O7" s="101"/>
    </row>
    <row r="8" spans="1:32">
      <c r="A8" s="120" t="s">
        <v>16</v>
      </c>
      <c r="B8" s="121">
        <v>2</v>
      </c>
      <c r="C8" s="8">
        <v>1</v>
      </c>
      <c r="D8" s="8"/>
      <c r="E8" s="8">
        <v>1</v>
      </c>
      <c r="F8" s="122">
        <f>(B8*4)+(C8*6)+(D8*4)+(E8*3)</f>
        <v>17</v>
      </c>
      <c r="G8" s="123">
        <f>($F8*8*26)/1.8245</f>
        <v>1938.0652233488627</v>
      </c>
      <c r="H8" s="20">
        <f>G8/4</f>
        <v>484.51630583721567</v>
      </c>
      <c r="I8" s="123">
        <f>($F8*8)/1.8245</f>
        <v>74.540970128802414</v>
      </c>
      <c r="J8" s="130"/>
      <c r="L8" s="31" t="s">
        <v>16</v>
      </c>
      <c r="M8" s="111">
        <f>SUM(AE16:AE46)</f>
        <v>1753.9051795012333</v>
      </c>
      <c r="N8" s="132"/>
      <c r="O8" s="132"/>
    </row>
    <row r="9" spans="1:32">
      <c r="A9" s="120" t="s">
        <v>107</v>
      </c>
      <c r="B9" s="128">
        <v>1</v>
      </c>
      <c r="C9" s="12"/>
      <c r="D9" s="12"/>
      <c r="E9" s="12"/>
      <c r="F9" s="122">
        <f t="shared" ref="F9:F10" si="0">(B9*4)+(C9*6)+(D9*4)+(E9*3)</f>
        <v>4</v>
      </c>
      <c r="G9" s="123">
        <f t="shared" ref="G9:G10" si="1">($F9*8*26)/1.8245</f>
        <v>456.01534667032064</v>
      </c>
      <c r="H9" s="20">
        <f t="shared" ref="H9:H10" si="2">G9/4</f>
        <v>114.00383666758016</v>
      </c>
      <c r="I9" s="123">
        <f t="shared" ref="I9:I10" si="3">($F9*8)/1.8245</f>
        <v>17.53905179501233</v>
      </c>
      <c r="L9" s="31" t="s">
        <v>107</v>
      </c>
      <c r="M9" s="131"/>
      <c r="O9" s="131"/>
    </row>
    <row r="10" spans="1:32">
      <c r="A10" s="120" t="s">
        <v>108</v>
      </c>
      <c r="B10" s="128">
        <v>4</v>
      </c>
      <c r="C10" s="12"/>
      <c r="D10" s="12"/>
      <c r="E10" s="12"/>
      <c r="F10" s="122">
        <f t="shared" si="0"/>
        <v>16</v>
      </c>
      <c r="G10" s="123">
        <f t="shared" si="1"/>
        <v>1824.0613866812826</v>
      </c>
      <c r="H10" s="20">
        <f t="shared" si="2"/>
        <v>456.01534667032064</v>
      </c>
      <c r="I10" s="123">
        <f t="shared" si="3"/>
        <v>70.156207180049321</v>
      </c>
      <c r="L10" s="31" t="s">
        <v>108</v>
      </c>
      <c r="M10" s="131"/>
    </row>
    <row r="11" spans="1:32">
      <c r="A11" s="115" t="s">
        <v>17</v>
      </c>
      <c r="B11" s="116">
        <f>SUM(B4:B10)</f>
        <v>16</v>
      </c>
      <c r="C11" s="116">
        <f>SUM(C4:C8)</f>
        <v>5</v>
      </c>
      <c r="D11" s="116">
        <f>SUM(D4:D8)</f>
        <v>4</v>
      </c>
      <c r="E11" s="117">
        <f>SUM(E4:E8)</f>
        <v>5</v>
      </c>
      <c r="F11" s="118">
        <f>SUM(F4:F10)</f>
        <v>125</v>
      </c>
      <c r="G11" s="119">
        <f>(F11*8*26)/1.8245</f>
        <v>14250.479583447519</v>
      </c>
      <c r="H11" s="119">
        <f>SUM(H4:H10)</f>
        <v>3562.6198958618802</v>
      </c>
      <c r="I11" s="119">
        <f>SUM(I4:I8)</f>
        <v>460.4001096190737</v>
      </c>
      <c r="M11" s="129">
        <f>SUM(M4:M8)</f>
        <v>7217.3198136475748</v>
      </c>
    </row>
    <row r="12" spans="1:32" ht="18.600000000000001">
      <c r="A12" s="78"/>
      <c r="B12" s="88"/>
      <c r="C12" s="88"/>
      <c r="D12" s="88"/>
      <c r="E12" s="88"/>
      <c r="F12" s="89"/>
      <c r="G12" s="90">
        <f>SUM(G4:G8)</f>
        <v>11970.402850095918</v>
      </c>
      <c r="H12" s="82"/>
      <c r="I12" s="82"/>
      <c r="J12" s="91"/>
      <c r="K12" s="91"/>
      <c r="L12" s="91"/>
      <c r="M12" s="91"/>
      <c r="N12" s="84"/>
      <c r="O12" s="85"/>
    </row>
    <row r="13" spans="1:32" ht="21.6" thickBot="1">
      <c r="A13" s="77"/>
      <c r="B13" s="192" t="s">
        <v>12</v>
      </c>
      <c r="C13" s="193"/>
      <c r="D13" s="193"/>
      <c r="E13" s="193"/>
      <c r="F13" s="193"/>
      <c r="G13" s="194"/>
      <c r="H13" s="192" t="s">
        <v>20</v>
      </c>
      <c r="I13" s="193"/>
      <c r="J13" s="193"/>
      <c r="K13" s="193"/>
      <c r="L13" s="193"/>
      <c r="M13" s="194"/>
      <c r="N13" s="192" t="s">
        <v>14</v>
      </c>
      <c r="O13" s="193"/>
      <c r="P13" s="193"/>
      <c r="Q13" s="193"/>
      <c r="R13" s="193"/>
      <c r="S13" s="194"/>
      <c r="T13" s="192" t="s">
        <v>15</v>
      </c>
      <c r="U13" s="193"/>
      <c r="V13" s="193"/>
      <c r="W13" s="193"/>
      <c r="X13" s="193"/>
      <c r="Y13" s="194"/>
      <c r="Z13" s="192" t="s">
        <v>16</v>
      </c>
      <c r="AA13" s="193"/>
      <c r="AB13" s="193"/>
      <c r="AC13" s="193"/>
      <c r="AD13" s="193"/>
      <c r="AE13" s="194"/>
      <c r="AF13" s="201" t="s">
        <v>17</v>
      </c>
    </row>
    <row r="14" spans="1:32" ht="21.6" customHeight="1" thickBot="1">
      <c r="B14" s="195" t="s">
        <v>2</v>
      </c>
      <c r="C14" s="196"/>
      <c r="D14" s="196"/>
      <c r="E14" s="196"/>
      <c r="F14" s="197" t="s">
        <v>103</v>
      </c>
      <c r="G14" s="199" t="s">
        <v>104</v>
      </c>
      <c r="H14" s="195" t="s">
        <v>2</v>
      </c>
      <c r="I14" s="196"/>
      <c r="J14" s="196"/>
      <c r="K14" s="196"/>
      <c r="L14" s="197" t="s">
        <v>103</v>
      </c>
      <c r="M14" s="199" t="s">
        <v>104</v>
      </c>
      <c r="N14" s="195" t="s">
        <v>2</v>
      </c>
      <c r="O14" s="196"/>
      <c r="P14" s="196"/>
      <c r="Q14" s="196"/>
      <c r="R14" s="197" t="s">
        <v>103</v>
      </c>
      <c r="S14" s="199" t="s">
        <v>104</v>
      </c>
      <c r="T14" s="195" t="s">
        <v>2</v>
      </c>
      <c r="U14" s="196"/>
      <c r="V14" s="196"/>
      <c r="W14" s="196"/>
      <c r="X14" s="197" t="s">
        <v>103</v>
      </c>
      <c r="Y14" s="199" t="s">
        <v>104</v>
      </c>
      <c r="Z14" s="195" t="s">
        <v>2</v>
      </c>
      <c r="AA14" s="196"/>
      <c r="AB14" s="196"/>
      <c r="AC14" s="196"/>
      <c r="AD14" s="197" t="s">
        <v>103</v>
      </c>
      <c r="AE14" s="199" t="s">
        <v>104</v>
      </c>
      <c r="AF14" s="202"/>
    </row>
    <row r="15" spans="1:32" ht="21.6" customHeight="1" thickBot="1">
      <c r="A15" s="33" t="s">
        <v>19</v>
      </c>
      <c r="B15" s="73" t="s">
        <v>8</v>
      </c>
      <c r="C15" s="74" t="s">
        <v>9</v>
      </c>
      <c r="D15" s="74" t="s">
        <v>10</v>
      </c>
      <c r="E15" s="75" t="s">
        <v>11</v>
      </c>
      <c r="F15" s="198"/>
      <c r="G15" s="200"/>
      <c r="H15" s="73" t="s">
        <v>8</v>
      </c>
      <c r="I15" s="74" t="s">
        <v>9</v>
      </c>
      <c r="J15" s="74" t="s">
        <v>10</v>
      </c>
      <c r="K15" s="75" t="s">
        <v>11</v>
      </c>
      <c r="L15" s="198"/>
      <c r="M15" s="200"/>
      <c r="N15" s="73" t="s">
        <v>8</v>
      </c>
      <c r="O15" s="74" t="s">
        <v>9</v>
      </c>
      <c r="P15" s="74" t="s">
        <v>10</v>
      </c>
      <c r="Q15" s="75" t="s">
        <v>11</v>
      </c>
      <c r="R15" s="198"/>
      <c r="S15" s="200"/>
      <c r="T15" s="73" t="s">
        <v>8</v>
      </c>
      <c r="U15" s="74" t="s">
        <v>9</v>
      </c>
      <c r="V15" s="74" t="s">
        <v>10</v>
      </c>
      <c r="W15" s="75" t="s">
        <v>11</v>
      </c>
      <c r="X15" s="198"/>
      <c r="Y15" s="200"/>
      <c r="Z15" s="73" t="s">
        <v>8</v>
      </c>
      <c r="AA15" s="74" t="s">
        <v>9</v>
      </c>
      <c r="AB15" s="74" t="s">
        <v>10</v>
      </c>
      <c r="AC15" s="75" t="s">
        <v>11</v>
      </c>
      <c r="AD15" s="198"/>
      <c r="AE15" s="200"/>
      <c r="AF15" s="207"/>
    </row>
    <row r="16" spans="1:32" ht="15.95" thickBot="1">
      <c r="A16" s="34">
        <v>45839</v>
      </c>
      <c r="B16" s="36">
        <v>1</v>
      </c>
      <c r="C16" s="37">
        <v>1</v>
      </c>
      <c r="D16" s="37"/>
      <c r="E16" s="38">
        <v>1</v>
      </c>
      <c r="F16" s="155">
        <f t="shared" ref="F16:F46" si="4">(B16*4)+(C16*6)+(D16*4)+(E16*3)</f>
        <v>13</v>
      </c>
      <c r="G16" s="156">
        <f t="shared" ref="G16:G45" si="5">(F16*8)/1.8245</f>
        <v>57.00191833379008</v>
      </c>
      <c r="H16" s="149">
        <v>2</v>
      </c>
      <c r="I16" s="37">
        <v>1</v>
      </c>
      <c r="J16" s="37"/>
      <c r="K16" s="38"/>
      <c r="L16" s="155">
        <f t="shared" ref="L16:L46" si="6">(H16*4)+(I16*6)+(J16*4)+(K16*3)</f>
        <v>14</v>
      </c>
      <c r="M16" s="156">
        <f t="shared" ref="M16:M45" si="7">(L16*8)/1.8245</f>
        <v>61.386681282543165</v>
      </c>
      <c r="N16" s="149"/>
      <c r="O16" s="37"/>
      <c r="P16" s="37"/>
      <c r="Q16" s="38"/>
      <c r="R16" s="155">
        <f>(N16*4)+(O16*6)+(P16*4)+(Q16*3)</f>
        <v>0</v>
      </c>
      <c r="S16" s="156">
        <f t="shared" ref="S16:S46" si="8">(R16*8)/1.8245</f>
        <v>0</v>
      </c>
      <c r="T16" s="149"/>
      <c r="U16" s="37">
        <v>1</v>
      </c>
      <c r="V16" s="37"/>
      <c r="W16" s="38"/>
      <c r="X16" s="155">
        <f t="shared" ref="X16:X46" si="9">(T16*4)+(U16*6)+(V16*4)+(W16*3)</f>
        <v>6</v>
      </c>
      <c r="Y16" s="156">
        <f t="shared" ref="Y16:Y46" si="10">(X16*8)/1.8245</f>
        <v>26.308577692518497</v>
      </c>
      <c r="Z16" s="149">
        <v>1</v>
      </c>
      <c r="AA16" s="37">
        <v>1</v>
      </c>
      <c r="AB16" s="37"/>
      <c r="AC16" s="38"/>
      <c r="AD16" s="64">
        <f>(Z16*4)+(AA16*6)+(AB16*4)+(AC16*3)</f>
        <v>10</v>
      </c>
      <c r="AE16" s="65">
        <f t="shared" ref="AE16:AE46" si="11">(AD16*8)/1.8245</f>
        <v>43.847629487530831</v>
      </c>
      <c r="AF16" s="76">
        <f>G16+M16+AE16+S16+Y16</f>
        <v>188.54480679638257</v>
      </c>
    </row>
    <row r="17" spans="1:32" ht="15.95" thickBot="1">
      <c r="A17" s="34">
        <v>45840</v>
      </c>
      <c r="B17" s="40">
        <v>1</v>
      </c>
      <c r="C17" s="39">
        <v>1</v>
      </c>
      <c r="D17" s="39"/>
      <c r="E17" s="41"/>
      <c r="F17" s="64">
        <f t="shared" si="4"/>
        <v>10</v>
      </c>
      <c r="G17" s="65">
        <f t="shared" si="5"/>
        <v>43.847629487530831</v>
      </c>
      <c r="H17" s="150">
        <v>2</v>
      </c>
      <c r="I17" s="39">
        <v>1</v>
      </c>
      <c r="J17" s="39"/>
      <c r="K17" s="41"/>
      <c r="L17" s="64">
        <f t="shared" si="6"/>
        <v>14</v>
      </c>
      <c r="M17" s="65">
        <f t="shared" si="7"/>
        <v>61.386681282543165</v>
      </c>
      <c r="N17" s="150">
        <v>2</v>
      </c>
      <c r="O17" s="39">
        <v>1</v>
      </c>
      <c r="P17" s="39"/>
      <c r="Q17" s="41">
        <v>1</v>
      </c>
      <c r="R17" s="64">
        <f t="shared" ref="R17:R46" si="12">(N17*4)+(O17*6)+(P17*4)+(Q17*3)</f>
        <v>17</v>
      </c>
      <c r="S17" s="65">
        <f t="shared" si="8"/>
        <v>74.540970128802414</v>
      </c>
      <c r="T17" s="150">
        <v>2</v>
      </c>
      <c r="U17" s="39">
        <v>2</v>
      </c>
      <c r="V17" s="39"/>
      <c r="W17" s="41">
        <v>1</v>
      </c>
      <c r="X17" s="64">
        <f t="shared" si="9"/>
        <v>23</v>
      </c>
      <c r="Y17" s="65">
        <f t="shared" si="10"/>
        <v>100.84954782132091</v>
      </c>
      <c r="Z17" s="150">
        <v>4</v>
      </c>
      <c r="AA17" s="39">
        <v>1</v>
      </c>
      <c r="AB17" s="39"/>
      <c r="AC17" s="41"/>
      <c r="AD17" s="64">
        <f t="shared" ref="AD17:AD46" si="13">(Z17*4)+(AA17*6)+(AB17*4)+(AC17*3)</f>
        <v>22</v>
      </c>
      <c r="AE17" s="65">
        <f t="shared" si="11"/>
        <v>96.464784872567833</v>
      </c>
      <c r="AF17" s="76">
        <f t="shared" ref="AF17:AF45" si="14">G17+M17+AE17+S17+Y17</f>
        <v>377.08961359276515</v>
      </c>
    </row>
    <row r="18" spans="1:32" ht="15.95" thickBot="1">
      <c r="A18" s="34">
        <v>45841</v>
      </c>
      <c r="B18" s="40"/>
      <c r="C18" s="39">
        <v>1</v>
      </c>
      <c r="D18" s="39"/>
      <c r="E18" s="41"/>
      <c r="F18" s="64">
        <f t="shared" si="4"/>
        <v>6</v>
      </c>
      <c r="G18" s="65">
        <f t="shared" si="5"/>
        <v>26.308577692518497</v>
      </c>
      <c r="H18" s="150">
        <v>2</v>
      </c>
      <c r="I18" s="39">
        <v>1</v>
      </c>
      <c r="J18" s="39"/>
      <c r="K18" s="41"/>
      <c r="L18" s="64">
        <f t="shared" si="6"/>
        <v>14</v>
      </c>
      <c r="M18" s="65">
        <f t="shared" si="7"/>
        <v>61.386681282543165</v>
      </c>
      <c r="N18" s="150">
        <v>1</v>
      </c>
      <c r="O18" s="39">
        <v>1</v>
      </c>
      <c r="P18" s="39"/>
      <c r="Q18" s="41"/>
      <c r="R18" s="64">
        <f t="shared" si="12"/>
        <v>10</v>
      </c>
      <c r="S18" s="65">
        <f t="shared" si="8"/>
        <v>43.847629487530831</v>
      </c>
      <c r="T18" s="150">
        <v>2</v>
      </c>
      <c r="U18" s="39">
        <v>1</v>
      </c>
      <c r="V18" s="39"/>
      <c r="W18" s="41">
        <v>1</v>
      </c>
      <c r="X18" s="64">
        <f t="shared" si="9"/>
        <v>17</v>
      </c>
      <c r="Y18" s="65">
        <f t="shared" si="10"/>
        <v>74.540970128802414</v>
      </c>
      <c r="Z18" s="150">
        <v>4</v>
      </c>
      <c r="AA18" s="39">
        <v>2</v>
      </c>
      <c r="AB18" s="39"/>
      <c r="AC18" s="41">
        <v>1</v>
      </c>
      <c r="AD18" s="64">
        <f t="shared" si="13"/>
        <v>31</v>
      </c>
      <c r="AE18" s="65">
        <f t="shared" si="11"/>
        <v>135.92765141134558</v>
      </c>
      <c r="AF18" s="76">
        <f t="shared" si="14"/>
        <v>342.01151000274047</v>
      </c>
    </row>
    <row r="19" spans="1:32" ht="15.95" thickBot="1">
      <c r="A19" s="34">
        <v>45842</v>
      </c>
      <c r="B19" s="40">
        <v>1</v>
      </c>
      <c r="C19" s="39">
        <v>2</v>
      </c>
      <c r="D19" s="39"/>
      <c r="E19" s="41">
        <v>1</v>
      </c>
      <c r="F19" s="64">
        <f t="shared" si="4"/>
        <v>19</v>
      </c>
      <c r="G19" s="65">
        <f t="shared" si="5"/>
        <v>83.310496026308584</v>
      </c>
      <c r="H19" s="150">
        <v>2</v>
      </c>
      <c r="I19" s="39">
        <v>1</v>
      </c>
      <c r="J19" s="39"/>
      <c r="K19" s="41">
        <v>1</v>
      </c>
      <c r="L19" s="64">
        <f t="shared" si="6"/>
        <v>17</v>
      </c>
      <c r="M19" s="65">
        <f t="shared" si="7"/>
        <v>74.540970128802414</v>
      </c>
      <c r="N19" s="150"/>
      <c r="O19" s="39"/>
      <c r="P19" s="39"/>
      <c r="Q19" s="41"/>
      <c r="R19" s="64">
        <f t="shared" si="12"/>
        <v>0</v>
      </c>
      <c r="S19" s="65">
        <f t="shared" si="8"/>
        <v>0</v>
      </c>
      <c r="T19" s="150">
        <v>3</v>
      </c>
      <c r="U19" s="39">
        <v>2</v>
      </c>
      <c r="V19" s="39"/>
      <c r="W19" s="41">
        <v>1</v>
      </c>
      <c r="X19" s="64">
        <f t="shared" si="9"/>
        <v>27</v>
      </c>
      <c r="Y19" s="65">
        <f t="shared" si="10"/>
        <v>118.38859961633324</v>
      </c>
      <c r="Z19" s="150">
        <v>3</v>
      </c>
      <c r="AA19" s="39">
        <v>2</v>
      </c>
      <c r="AB19" s="39"/>
      <c r="AC19" s="41">
        <v>1</v>
      </c>
      <c r="AD19" s="64">
        <f t="shared" si="13"/>
        <v>27</v>
      </c>
      <c r="AE19" s="65">
        <f t="shared" si="11"/>
        <v>118.38859961633324</v>
      </c>
      <c r="AF19" s="76">
        <f t="shared" si="14"/>
        <v>394.62866538777746</v>
      </c>
    </row>
    <row r="20" spans="1:32" ht="15.95" thickBot="1">
      <c r="A20" s="34">
        <v>45843</v>
      </c>
      <c r="B20" s="42">
        <v>1</v>
      </c>
      <c r="C20" s="43"/>
      <c r="D20" s="43"/>
      <c r="E20" s="44"/>
      <c r="F20" s="64">
        <f t="shared" si="4"/>
        <v>4</v>
      </c>
      <c r="G20" s="65">
        <f t="shared" si="5"/>
        <v>17.53905179501233</v>
      </c>
      <c r="H20" s="151">
        <v>2</v>
      </c>
      <c r="I20" s="43">
        <v>1</v>
      </c>
      <c r="J20" s="43"/>
      <c r="K20" s="44">
        <v>1</v>
      </c>
      <c r="L20" s="64">
        <f t="shared" si="6"/>
        <v>17</v>
      </c>
      <c r="M20" s="65">
        <f t="shared" si="7"/>
        <v>74.540970128802414</v>
      </c>
      <c r="N20" s="151">
        <v>1</v>
      </c>
      <c r="O20" s="43"/>
      <c r="P20" s="43"/>
      <c r="Q20" s="44">
        <v>1</v>
      </c>
      <c r="R20" s="64">
        <f t="shared" si="12"/>
        <v>7</v>
      </c>
      <c r="S20" s="65">
        <f t="shared" si="8"/>
        <v>30.693340641271583</v>
      </c>
      <c r="T20" s="151"/>
      <c r="U20" s="43"/>
      <c r="V20" s="43"/>
      <c r="W20" s="44"/>
      <c r="X20" s="64">
        <f t="shared" si="9"/>
        <v>0</v>
      </c>
      <c r="Y20" s="65">
        <f t="shared" si="10"/>
        <v>0</v>
      </c>
      <c r="Z20" s="151">
        <v>2</v>
      </c>
      <c r="AA20" s="43">
        <v>1</v>
      </c>
      <c r="AB20" s="43"/>
      <c r="AC20" s="44">
        <v>1</v>
      </c>
      <c r="AD20" s="64">
        <f t="shared" si="13"/>
        <v>17</v>
      </c>
      <c r="AE20" s="65">
        <f t="shared" si="11"/>
        <v>74.540970128802414</v>
      </c>
      <c r="AF20" s="76">
        <f t="shared" si="14"/>
        <v>197.31433269388876</v>
      </c>
    </row>
    <row r="21" spans="1:32" ht="15.95" thickBot="1">
      <c r="A21" s="34">
        <v>45844</v>
      </c>
      <c r="B21" s="42"/>
      <c r="C21" s="43"/>
      <c r="D21" s="43"/>
      <c r="E21" s="44"/>
      <c r="F21" s="64">
        <f t="shared" si="4"/>
        <v>0</v>
      </c>
      <c r="G21" s="65">
        <f t="shared" si="5"/>
        <v>0</v>
      </c>
      <c r="H21" s="151"/>
      <c r="I21" s="43"/>
      <c r="J21" s="43"/>
      <c r="K21" s="44"/>
      <c r="L21" s="64">
        <f t="shared" si="6"/>
        <v>0</v>
      </c>
      <c r="M21" s="65">
        <f t="shared" si="7"/>
        <v>0</v>
      </c>
      <c r="N21" s="151"/>
      <c r="O21" s="43"/>
      <c r="P21" s="43"/>
      <c r="Q21" s="44"/>
      <c r="R21" s="64">
        <f t="shared" si="12"/>
        <v>0</v>
      </c>
      <c r="S21" s="65">
        <f t="shared" si="8"/>
        <v>0</v>
      </c>
      <c r="T21" s="151"/>
      <c r="U21" s="43"/>
      <c r="V21" s="43"/>
      <c r="W21" s="44"/>
      <c r="X21" s="64">
        <f t="shared" si="9"/>
        <v>0</v>
      </c>
      <c r="Y21" s="65">
        <f t="shared" si="10"/>
        <v>0</v>
      </c>
      <c r="Z21" s="151"/>
      <c r="AA21" s="43"/>
      <c r="AB21" s="43"/>
      <c r="AC21" s="44"/>
      <c r="AD21" s="64">
        <f t="shared" si="13"/>
        <v>0</v>
      </c>
      <c r="AE21" s="65">
        <f t="shared" si="11"/>
        <v>0</v>
      </c>
      <c r="AF21" s="76">
        <f t="shared" si="14"/>
        <v>0</v>
      </c>
    </row>
    <row r="22" spans="1:32" ht="15.95" thickBot="1">
      <c r="A22" s="34">
        <v>45845</v>
      </c>
      <c r="B22" s="42">
        <v>1</v>
      </c>
      <c r="C22" s="43">
        <v>1</v>
      </c>
      <c r="D22" s="43"/>
      <c r="E22" s="44"/>
      <c r="F22" s="64">
        <f t="shared" si="4"/>
        <v>10</v>
      </c>
      <c r="G22" s="65">
        <f t="shared" si="5"/>
        <v>43.847629487530831</v>
      </c>
      <c r="H22" s="151">
        <v>2</v>
      </c>
      <c r="I22" s="43">
        <v>1</v>
      </c>
      <c r="J22" s="43"/>
      <c r="K22" s="44"/>
      <c r="L22" s="64">
        <f t="shared" si="6"/>
        <v>14</v>
      </c>
      <c r="M22" s="65">
        <f t="shared" si="7"/>
        <v>61.386681282543165</v>
      </c>
      <c r="N22" s="151"/>
      <c r="O22" s="43"/>
      <c r="P22" s="43"/>
      <c r="Q22" s="44"/>
      <c r="R22" s="64">
        <f t="shared" si="12"/>
        <v>0</v>
      </c>
      <c r="S22" s="65">
        <f t="shared" si="8"/>
        <v>0</v>
      </c>
      <c r="T22" s="151">
        <v>2</v>
      </c>
      <c r="U22" s="43">
        <v>2</v>
      </c>
      <c r="V22" s="43"/>
      <c r="W22" s="44">
        <v>1</v>
      </c>
      <c r="X22" s="64">
        <f t="shared" si="9"/>
        <v>23</v>
      </c>
      <c r="Y22" s="65">
        <f t="shared" si="10"/>
        <v>100.84954782132091</v>
      </c>
      <c r="Z22" s="151">
        <v>1</v>
      </c>
      <c r="AA22" s="43">
        <v>1</v>
      </c>
      <c r="AB22" s="43"/>
      <c r="AC22" s="44">
        <v>1</v>
      </c>
      <c r="AD22" s="64">
        <f t="shared" si="13"/>
        <v>13</v>
      </c>
      <c r="AE22" s="65">
        <f t="shared" si="11"/>
        <v>57.00191833379008</v>
      </c>
      <c r="AF22" s="76">
        <f t="shared" si="14"/>
        <v>263.08577692518497</v>
      </c>
    </row>
    <row r="23" spans="1:32" ht="15.95" thickBot="1">
      <c r="A23" s="34">
        <v>45846</v>
      </c>
      <c r="B23" s="42">
        <v>2</v>
      </c>
      <c r="C23" s="43">
        <v>2</v>
      </c>
      <c r="D23" s="43"/>
      <c r="E23" s="44"/>
      <c r="F23" s="64">
        <f t="shared" si="4"/>
        <v>20</v>
      </c>
      <c r="G23" s="65">
        <f t="shared" si="5"/>
        <v>87.695258975061662</v>
      </c>
      <c r="H23" s="151">
        <v>2</v>
      </c>
      <c r="I23" s="43">
        <v>1</v>
      </c>
      <c r="J23" s="43"/>
      <c r="K23" s="44">
        <v>1</v>
      </c>
      <c r="L23" s="64">
        <f t="shared" si="6"/>
        <v>17</v>
      </c>
      <c r="M23" s="65">
        <f t="shared" si="7"/>
        <v>74.540970128802414</v>
      </c>
      <c r="N23" s="151">
        <v>1</v>
      </c>
      <c r="O23" s="43">
        <v>1</v>
      </c>
      <c r="P23" s="43"/>
      <c r="Q23" s="44">
        <v>1</v>
      </c>
      <c r="R23" s="64">
        <f t="shared" si="12"/>
        <v>13</v>
      </c>
      <c r="S23" s="65">
        <f t="shared" si="8"/>
        <v>57.00191833379008</v>
      </c>
      <c r="T23" s="151">
        <v>1</v>
      </c>
      <c r="U23" s="43"/>
      <c r="V23" s="43"/>
      <c r="W23" s="44"/>
      <c r="X23" s="64">
        <f t="shared" si="9"/>
        <v>4</v>
      </c>
      <c r="Y23" s="65">
        <f t="shared" si="10"/>
        <v>17.53905179501233</v>
      </c>
      <c r="Z23" s="151">
        <v>3</v>
      </c>
      <c r="AA23" s="43">
        <v>2</v>
      </c>
      <c r="AB23" s="43"/>
      <c r="AC23" s="44">
        <v>1</v>
      </c>
      <c r="AD23" s="64">
        <f t="shared" si="13"/>
        <v>27</v>
      </c>
      <c r="AE23" s="65">
        <f t="shared" si="11"/>
        <v>118.38859961633324</v>
      </c>
      <c r="AF23" s="76">
        <f t="shared" si="14"/>
        <v>355.16579884899971</v>
      </c>
    </row>
    <row r="24" spans="1:32" ht="15.95" thickBot="1">
      <c r="A24" s="34">
        <v>45847</v>
      </c>
      <c r="B24" s="42"/>
      <c r="C24" s="43"/>
      <c r="D24" s="43"/>
      <c r="E24" s="44"/>
      <c r="F24" s="64">
        <f t="shared" si="4"/>
        <v>0</v>
      </c>
      <c r="G24" s="65">
        <f t="shared" si="5"/>
        <v>0</v>
      </c>
      <c r="H24" s="151">
        <v>2</v>
      </c>
      <c r="I24" s="43">
        <v>1</v>
      </c>
      <c r="J24" s="43"/>
      <c r="K24" s="44">
        <v>1</v>
      </c>
      <c r="L24" s="64">
        <f t="shared" si="6"/>
        <v>17</v>
      </c>
      <c r="M24" s="65">
        <f t="shared" si="7"/>
        <v>74.540970128802414</v>
      </c>
      <c r="N24" s="151">
        <v>2</v>
      </c>
      <c r="O24" s="43">
        <v>1</v>
      </c>
      <c r="P24" s="43"/>
      <c r="Q24" s="44"/>
      <c r="R24" s="64">
        <f t="shared" si="12"/>
        <v>14</v>
      </c>
      <c r="S24" s="65">
        <f t="shared" si="8"/>
        <v>61.386681282543165</v>
      </c>
      <c r="T24" s="151">
        <v>1</v>
      </c>
      <c r="U24" s="43">
        <v>2</v>
      </c>
      <c r="V24" s="43"/>
      <c r="W24" s="44">
        <v>1</v>
      </c>
      <c r="X24" s="64">
        <f t="shared" si="9"/>
        <v>19</v>
      </c>
      <c r="Y24" s="65">
        <f t="shared" si="10"/>
        <v>83.310496026308584</v>
      </c>
      <c r="Z24" s="151">
        <v>3</v>
      </c>
      <c r="AA24" s="43"/>
      <c r="AB24" s="43"/>
      <c r="AC24" s="44"/>
      <c r="AD24" s="64">
        <f t="shared" si="13"/>
        <v>12</v>
      </c>
      <c r="AE24" s="65">
        <f t="shared" si="11"/>
        <v>52.617155385036995</v>
      </c>
      <c r="AF24" s="76">
        <f t="shared" si="14"/>
        <v>271.85530282269116</v>
      </c>
    </row>
    <row r="25" spans="1:32" ht="15.95" thickBot="1">
      <c r="A25" s="34">
        <v>45848</v>
      </c>
      <c r="B25" s="40">
        <v>1</v>
      </c>
      <c r="C25" s="39">
        <v>2</v>
      </c>
      <c r="D25" s="39"/>
      <c r="E25" s="41">
        <v>1</v>
      </c>
      <c r="F25" s="64">
        <f t="shared" si="4"/>
        <v>19</v>
      </c>
      <c r="G25" s="65">
        <f t="shared" si="5"/>
        <v>83.310496026308584</v>
      </c>
      <c r="H25" s="150">
        <v>2</v>
      </c>
      <c r="I25" s="39">
        <v>1</v>
      </c>
      <c r="J25" s="39"/>
      <c r="K25" s="41">
        <v>1</v>
      </c>
      <c r="L25" s="64">
        <f t="shared" si="6"/>
        <v>17</v>
      </c>
      <c r="M25" s="65">
        <f t="shared" si="7"/>
        <v>74.540970128802414</v>
      </c>
      <c r="N25" s="150">
        <v>2</v>
      </c>
      <c r="O25" s="39">
        <v>1</v>
      </c>
      <c r="P25" s="39"/>
      <c r="Q25" s="41"/>
      <c r="R25" s="64">
        <f t="shared" si="12"/>
        <v>14</v>
      </c>
      <c r="S25" s="65">
        <f t="shared" si="8"/>
        <v>61.386681282543165</v>
      </c>
      <c r="T25" s="150"/>
      <c r="U25" s="39">
        <v>1</v>
      </c>
      <c r="V25" s="39"/>
      <c r="W25" s="41"/>
      <c r="X25" s="64">
        <f t="shared" si="9"/>
        <v>6</v>
      </c>
      <c r="Y25" s="65">
        <f t="shared" si="10"/>
        <v>26.308577692518497</v>
      </c>
      <c r="Z25" s="150">
        <v>2</v>
      </c>
      <c r="AA25" s="39">
        <v>1</v>
      </c>
      <c r="AB25" s="39"/>
      <c r="AC25" s="41">
        <v>1</v>
      </c>
      <c r="AD25" s="64">
        <f t="shared" si="13"/>
        <v>17</v>
      </c>
      <c r="AE25" s="65">
        <f t="shared" si="11"/>
        <v>74.540970128802414</v>
      </c>
      <c r="AF25" s="76">
        <f t="shared" si="14"/>
        <v>320.08769525897509</v>
      </c>
    </row>
    <row r="26" spans="1:32" ht="15.95" thickBot="1">
      <c r="A26" s="34">
        <v>45849</v>
      </c>
      <c r="B26" s="40">
        <v>1</v>
      </c>
      <c r="C26" s="39">
        <v>2</v>
      </c>
      <c r="D26" s="39"/>
      <c r="E26" s="41">
        <v>1</v>
      </c>
      <c r="F26" s="64">
        <f t="shared" si="4"/>
        <v>19</v>
      </c>
      <c r="G26" s="65">
        <f t="shared" si="5"/>
        <v>83.310496026308584</v>
      </c>
      <c r="H26" s="150">
        <v>2</v>
      </c>
      <c r="I26" s="39">
        <v>1</v>
      </c>
      <c r="J26" s="39"/>
      <c r="K26" s="41"/>
      <c r="L26" s="64">
        <f t="shared" si="6"/>
        <v>14</v>
      </c>
      <c r="M26" s="65">
        <f t="shared" si="7"/>
        <v>61.386681282543165</v>
      </c>
      <c r="N26" s="150">
        <v>2</v>
      </c>
      <c r="O26" s="39">
        <v>1</v>
      </c>
      <c r="P26" s="39"/>
      <c r="Q26" s="41">
        <v>1</v>
      </c>
      <c r="R26" s="64">
        <f t="shared" si="12"/>
        <v>17</v>
      </c>
      <c r="S26" s="65">
        <f t="shared" si="8"/>
        <v>74.540970128802414</v>
      </c>
      <c r="T26" s="150">
        <v>1</v>
      </c>
      <c r="U26" s="39">
        <v>2</v>
      </c>
      <c r="V26" s="39"/>
      <c r="W26" s="41">
        <v>1</v>
      </c>
      <c r="X26" s="64">
        <f t="shared" si="9"/>
        <v>19</v>
      </c>
      <c r="Y26" s="65">
        <f t="shared" si="10"/>
        <v>83.310496026308584</v>
      </c>
      <c r="Z26" s="150">
        <v>3</v>
      </c>
      <c r="AA26" s="39"/>
      <c r="AB26" s="39"/>
      <c r="AC26" s="41"/>
      <c r="AD26" s="64">
        <f t="shared" si="13"/>
        <v>12</v>
      </c>
      <c r="AE26" s="65">
        <f t="shared" si="11"/>
        <v>52.617155385036995</v>
      </c>
      <c r="AF26" s="76">
        <f t="shared" si="14"/>
        <v>355.16579884899977</v>
      </c>
    </row>
    <row r="27" spans="1:32" ht="15.95" thickBot="1">
      <c r="A27" s="34">
        <v>45850</v>
      </c>
      <c r="B27" s="40">
        <v>2</v>
      </c>
      <c r="C27" s="39">
        <v>1</v>
      </c>
      <c r="D27" s="39"/>
      <c r="E27" s="41"/>
      <c r="F27" s="64">
        <f t="shared" si="4"/>
        <v>14</v>
      </c>
      <c r="G27" s="65">
        <f t="shared" si="5"/>
        <v>61.386681282543165</v>
      </c>
      <c r="H27" s="150">
        <v>2</v>
      </c>
      <c r="I27" s="39">
        <v>1</v>
      </c>
      <c r="J27" s="39"/>
      <c r="K27" s="41">
        <v>1</v>
      </c>
      <c r="L27" s="64">
        <f t="shared" si="6"/>
        <v>17</v>
      </c>
      <c r="M27" s="65">
        <f t="shared" si="7"/>
        <v>74.540970128802414</v>
      </c>
      <c r="N27" s="150">
        <v>1</v>
      </c>
      <c r="O27" s="39">
        <v>1</v>
      </c>
      <c r="P27" s="39"/>
      <c r="Q27" s="41">
        <v>1</v>
      </c>
      <c r="R27" s="64">
        <f t="shared" si="12"/>
        <v>13</v>
      </c>
      <c r="S27" s="65">
        <f t="shared" si="8"/>
        <v>57.00191833379008</v>
      </c>
      <c r="T27" s="150">
        <v>2</v>
      </c>
      <c r="U27" s="39">
        <v>1</v>
      </c>
      <c r="V27" s="39"/>
      <c r="W27" s="41">
        <v>1</v>
      </c>
      <c r="X27" s="64">
        <f t="shared" si="9"/>
        <v>17</v>
      </c>
      <c r="Y27" s="65">
        <f t="shared" si="10"/>
        <v>74.540970128802414</v>
      </c>
      <c r="Z27" s="150">
        <v>1</v>
      </c>
      <c r="AA27" s="39"/>
      <c r="AB27" s="39"/>
      <c r="AC27" s="41"/>
      <c r="AD27" s="64">
        <f t="shared" si="13"/>
        <v>4</v>
      </c>
      <c r="AE27" s="65">
        <f t="shared" si="11"/>
        <v>17.53905179501233</v>
      </c>
      <c r="AF27" s="76">
        <f t="shared" si="14"/>
        <v>285.00959166895041</v>
      </c>
    </row>
    <row r="28" spans="1:32" ht="15.95" thickBot="1">
      <c r="A28" s="34">
        <v>45851</v>
      </c>
      <c r="B28" s="40"/>
      <c r="C28" s="39"/>
      <c r="D28" s="39"/>
      <c r="E28" s="41"/>
      <c r="F28" s="64">
        <f t="shared" si="4"/>
        <v>0</v>
      </c>
      <c r="G28" s="65">
        <f t="shared" si="5"/>
        <v>0</v>
      </c>
      <c r="H28" s="150"/>
      <c r="I28" s="39"/>
      <c r="J28" s="39"/>
      <c r="K28" s="41"/>
      <c r="L28" s="64">
        <f t="shared" si="6"/>
        <v>0</v>
      </c>
      <c r="M28" s="65">
        <f t="shared" si="7"/>
        <v>0</v>
      </c>
      <c r="N28" s="150"/>
      <c r="O28" s="39"/>
      <c r="P28" s="39"/>
      <c r="Q28" s="41"/>
      <c r="R28" s="64">
        <f t="shared" si="12"/>
        <v>0</v>
      </c>
      <c r="S28" s="65">
        <f t="shared" si="8"/>
        <v>0</v>
      </c>
      <c r="T28" s="150"/>
      <c r="U28" s="39"/>
      <c r="V28" s="39"/>
      <c r="W28" s="41"/>
      <c r="X28" s="64">
        <f t="shared" si="9"/>
        <v>0</v>
      </c>
      <c r="Y28" s="65">
        <f t="shared" si="10"/>
        <v>0</v>
      </c>
      <c r="Z28" s="150">
        <v>3</v>
      </c>
      <c r="AA28" s="39">
        <v>2</v>
      </c>
      <c r="AB28" s="39"/>
      <c r="AC28" s="41">
        <v>1</v>
      </c>
      <c r="AD28" s="64">
        <f t="shared" si="13"/>
        <v>27</v>
      </c>
      <c r="AE28" s="65">
        <f t="shared" si="11"/>
        <v>118.38859961633324</v>
      </c>
      <c r="AF28" s="76">
        <f t="shared" si="14"/>
        <v>118.38859961633324</v>
      </c>
    </row>
    <row r="29" spans="1:32" ht="15.95" thickBot="1">
      <c r="A29" s="34">
        <v>45852</v>
      </c>
      <c r="B29" s="40">
        <v>2</v>
      </c>
      <c r="C29" s="39">
        <v>1</v>
      </c>
      <c r="D29" s="39"/>
      <c r="E29" s="41">
        <v>1</v>
      </c>
      <c r="F29" s="64">
        <f t="shared" si="4"/>
        <v>17</v>
      </c>
      <c r="G29" s="65">
        <f t="shared" si="5"/>
        <v>74.540970128802414</v>
      </c>
      <c r="H29" s="150">
        <v>2</v>
      </c>
      <c r="I29" s="39">
        <v>1</v>
      </c>
      <c r="J29" s="39"/>
      <c r="K29" s="41">
        <v>1</v>
      </c>
      <c r="L29" s="64">
        <f t="shared" si="6"/>
        <v>17</v>
      </c>
      <c r="M29" s="65">
        <f t="shared" si="7"/>
        <v>74.540970128802414</v>
      </c>
      <c r="N29" s="150">
        <v>1</v>
      </c>
      <c r="O29" s="39">
        <v>1</v>
      </c>
      <c r="P29" s="39"/>
      <c r="Q29" s="41">
        <v>1</v>
      </c>
      <c r="R29" s="64">
        <f t="shared" si="12"/>
        <v>13</v>
      </c>
      <c r="S29" s="65">
        <f t="shared" si="8"/>
        <v>57.00191833379008</v>
      </c>
      <c r="T29" s="150">
        <v>1</v>
      </c>
      <c r="U29" s="39">
        <v>1</v>
      </c>
      <c r="V29" s="39"/>
      <c r="W29" s="41"/>
      <c r="X29" s="64">
        <f t="shared" si="9"/>
        <v>10</v>
      </c>
      <c r="Y29" s="65">
        <f t="shared" si="10"/>
        <v>43.847629487530831</v>
      </c>
      <c r="Z29" s="150"/>
      <c r="AA29" s="39"/>
      <c r="AB29" s="39"/>
      <c r="AC29" s="41"/>
      <c r="AD29" s="64">
        <f t="shared" si="13"/>
        <v>0</v>
      </c>
      <c r="AE29" s="65">
        <f t="shared" si="11"/>
        <v>0</v>
      </c>
      <c r="AF29" s="76">
        <f t="shared" si="14"/>
        <v>249.93148807892575</v>
      </c>
    </row>
    <row r="30" spans="1:32" ht="15.95" thickBot="1">
      <c r="A30" s="34">
        <v>45853</v>
      </c>
      <c r="B30" s="40">
        <v>2</v>
      </c>
      <c r="C30" s="39">
        <v>1</v>
      </c>
      <c r="D30" s="39"/>
      <c r="E30" s="41">
        <v>1</v>
      </c>
      <c r="F30" s="64">
        <f t="shared" si="4"/>
        <v>17</v>
      </c>
      <c r="G30" s="65">
        <f t="shared" si="5"/>
        <v>74.540970128802414</v>
      </c>
      <c r="H30" s="150">
        <v>2</v>
      </c>
      <c r="I30" s="39">
        <v>1</v>
      </c>
      <c r="J30" s="39"/>
      <c r="K30" s="41">
        <v>1</v>
      </c>
      <c r="L30" s="64">
        <f t="shared" si="6"/>
        <v>17</v>
      </c>
      <c r="M30" s="65">
        <f t="shared" si="7"/>
        <v>74.540970128802414</v>
      </c>
      <c r="N30" s="150"/>
      <c r="O30" s="39"/>
      <c r="P30" s="39"/>
      <c r="Q30" s="41"/>
      <c r="R30" s="64">
        <f t="shared" si="12"/>
        <v>0</v>
      </c>
      <c r="S30" s="65">
        <f t="shared" si="8"/>
        <v>0</v>
      </c>
      <c r="T30" s="150">
        <v>1</v>
      </c>
      <c r="U30" s="39">
        <v>1</v>
      </c>
      <c r="V30" s="39"/>
      <c r="W30" s="41"/>
      <c r="X30" s="64">
        <f t="shared" si="9"/>
        <v>10</v>
      </c>
      <c r="Y30" s="65">
        <f t="shared" si="10"/>
        <v>43.847629487530831</v>
      </c>
      <c r="Z30" s="150">
        <v>2</v>
      </c>
      <c r="AA30" s="39">
        <v>1</v>
      </c>
      <c r="AB30" s="39"/>
      <c r="AC30" s="41">
        <v>1</v>
      </c>
      <c r="AD30" s="64">
        <f t="shared" si="13"/>
        <v>17</v>
      </c>
      <c r="AE30" s="65">
        <f t="shared" si="11"/>
        <v>74.540970128802414</v>
      </c>
      <c r="AF30" s="76">
        <f t="shared" si="14"/>
        <v>267.47053987393804</v>
      </c>
    </row>
    <row r="31" spans="1:32" ht="15.95" thickBot="1">
      <c r="A31" s="34">
        <v>45854</v>
      </c>
      <c r="B31" s="40">
        <v>1</v>
      </c>
      <c r="C31" s="39">
        <v>1</v>
      </c>
      <c r="D31" s="39"/>
      <c r="E31" s="41"/>
      <c r="F31" s="64">
        <f t="shared" si="4"/>
        <v>10</v>
      </c>
      <c r="G31" s="65">
        <f t="shared" si="5"/>
        <v>43.847629487530831</v>
      </c>
      <c r="H31" s="150">
        <v>3</v>
      </c>
      <c r="I31" s="39">
        <v>1</v>
      </c>
      <c r="J31" s="39"/>
      <c r="K31" s="41"/>
      <c r="L31" s="64">
        <f t="shared" si="6"/>
        <v>18</v>
      </c>
      <c r="M31" s="65">
        <f t="shared" si="7"/>
        <v>78.925733077555492</v>
      </c>
      <c r="N31" s="150"/>
      <c r="O31" s="39"/>
      <c r="P31" s="39"/>
      <c r="Q31" s="41"/>
      <c r="R31" s="64">
        <f t="shared" si="12"/>
        <v>0</v>
      </c>
      <c r="S31" s="65">
        <f t="shared" si="8"/>
        <v>0</v>
      </c>
      <c r="T31" s="150">
        <v>2</v>
      </c>
      <c r="U31" s="39">
        <v>2</v>
      </c>
      <c r="V31" s="39"/>
      <c r="W31" s="41">
        <v>1</v>
      </c>
      <c r="X31" s="64">
        <f t="shared" si="9"/>
        <v>23</v>
      </c>
      <c r="Y31" s="65">
        <f t="shared" si="10"/>
        <v>100.84954782132091</v>
      </c>
      <c r="Z31" s="150">
        <v>3</v>
      </c>
      <c r="AA31" s="39"/>
      <c r="AB31" s="39"/>
      <c r="AC31" s="41">
        <v>1</v>
      </c>
      <c r="AD31" s="64">
        <f t="shared" si="13"/>
        <v>15</v>
      </c>
      <c r="AE31" s="65">
        <f t="shared" si="11"/>
        <v>65.771444231296243</v>
      </c>
      <c r="AF31" s="76">
        <f t="shared" si="14"/>
        <v>289.39435461770347</v>
      </c>
    </row>
    <row r="32" spans="1:32" ht="15.95" thickBot="1">
      <c r="A32" s="34">
        <v>45855</v>
      </c>
      <c r="B32" s="40">
        <v>1</v>
      </c>
      <c r="C32" s="39">
        <v>1</v>
      </c>
      <c r="D32" s="39"/>
      <c r="E32" s="41"/>
      <c r="F32" s="64">
        <f t="shared" si="4"/>
        <v>10</v>
      </c>
      <c r="G32" s="65">
        <f t="shared" si="5"/>
        <v>43.847629487530831</v>
      </c>
      <c r="H32" s="150">
        <v>2</v>
      </c>
      <c r="I32" s="39">
        <v>1</v>
      </c>
      <c r="J32" s="39"/>
      <c r="K32" s="41"/>
      <c r="L32" s="64">
        <f t="shared" si="6"/>
        <v>14</v>
      </c>
      <c r="M32" s="65">
        <f t="shared" si="7"/>
        <v>61.386681282543165</v>
      </c>
      <c r="N32" s="150">
        <v>2</v>
      </c>
      <c r="O32" s="39">
        <v>1</v>
      </c>
      <c r="P32" s="39"/>
      <c r="Q32" s="41"/>
      <c r="R32" s="64">
        <f t="shared" si="12"/>
        <v>14</v>
      </c>
      <c r="S32" s="65">
        <f t="shared" si="8"/>
        <v>61.386681282543165</v>
      </c>
      <c r="T32" s="150">
        <v>2</v>
      </c>
      <c r="U32" s="39">
        <v>1</v>
      </c>
      <c r="V32" s="39"/>
      <c r="W32" s="41">
        <v>1</v>
      </c>
      <c r="X32" s="64">
        <f t="shared" si="9"/>
        <v>17</v>
      </c>
      <c r="Y32" s="65">
        <f t="shared" si="10"/>
        <v>74.540970128802414</v>
      </c>
      <c r="Z32" s="150">
        <v>2</v>
      </c>
      <c r="AA32" s="39"/>
      <c r="AB32" s="39"/>
      <c r="AC32" s="41"/>
      <c r="AD32" s="64">
        <f t="shared" si="13"/>
        <v>8</v>
      </c>
      <c r="AE32" s="65">
        <f t="shared" si="11"/>
        <v>35.078103590024661</v>
      </c>
      <c r="AF32" s="76">
        <f t="shared" si="14"/>
        <v>276.24006577144422</v>
      </c>
    </row>
    <row r="33" spans="1:32" ht="15.95" thickBot="1">
      <c r="A33" s="34">
        <v>45856</v>
      </c>
      <c r="B33" s="40"/>
      <c r="C33" s="39"/>
      <c r="D33" s="39"/>
      <c r="E33" s="41"/>
      <c r="F33" s="64">
        <f t="shared" si="4"/>
        <v>0</v>
      </c>
      <c r="G33" s="65">
        <f t="shared" si="5"/>
        <v>0</v>
      </c>
      <c r="H33" s="150">
        <v>2</v>
      </c>
      <c r="I33" s="39">
        <v>1</v>
      </c>
      <c r="J33" s="39"/>
      <c r="K33" s="41">
        <v>1</v>
      </c>
      <c r="L33" s="64">
        <f t="shared" si="6"/>
        <v>17</v>
      </c>
      <c r="M33" s="65">
        <f t="shared" si="7"/>
        <v>74.540970128802414</v>
      </c>
      <c r="N33" s="150"/>
      <c r="O33" s="39"/>
      <c r="P33" s="39"/>
      <c r="Q33" s="41"/>
      <c r="R33" s="64">
        <f t="shared" si="12"/>
        <v>0</v>
      </c>
      <c r="S33" s="65">
        <f t="shared" si="8"/>
        <v>0</v>
      </c>
      <c r="T33" s="150">
        <v>3</v>
      </c>
      <c r="U33" s="39"/>
      <c r="V33" s="39"/>
      <c r="W33" s="41">
        <v>1</v>
      </c>
      <c r="X33" s="64">
        <f t="shared" si="9"/>
        <v>15</v>
      </c>
      <c r="Y33" s="65">
        <f t="shared" si="10"/>
        <v>65.771444231296243</v>
      </c>
      <c r="Z33" s="150">
        <v>3</v>
      </c>
      <c r="AA33" s="39"/>
      <c r="AB33" s="39"/>
      <c r="AC33" s="41"/>
      <c r="AD33" s="64">
        <f t="shared" si="13"/>
        <v>12</v>
      </c>
      <c r="AE33" s="65">
        <f t="shared" si="11"/>
        <v>52.617155385036995</v>
      </c>
      <c r="AF33" s="76">
        <f t="shared" si="14"/>
        <v>192.92956974513567</v>
      </c>
    </row>
    <row r="34" spans="1:32" ht="15.95" thickBot="1">
      <c r="A34" s="34">
        <v>45857</v>
      </c>
      <c r="B34" s="40">
        <v>2</v>
      </c>
      <c r="C34" s="39">
        <v>3</v>
      </c>
      <c r="D34" s="39"/>
      <c r="E34" s="41">
        <v>1</v>
      </c>
      <c r="F34" s="64">
        <f t="shared" si="4"/>
        <v>29</v>
      </c>
      <c r="G34" s="65">
        <f t="shared" si="5"/>
        <v>127.15812551383941</v>
      </c>
      <c r="H34" s="150">
        <v>2</v>
      </c>
      <c r="I34" s="39">
        <v>1</v>
      </c>
      <c r="J34" s="39"/>
      <c r="K34" s="41">
        <v>1</v>
      </c>
      <c r="L34" s="64">
        <f t="shared" si="6"/>
        <v>17</v>
      </c>
      <c r="M34" s="65">
        <f t="shared" si="7"/>
        <v>74.540970128802414</v>
      </c>
      <c r="N34" s="150"/>
      <c r="O34" s="39"/>
      <c r="P34" s="39"/>
      <c r="Q34" s="41"/>
      <c r="R34" s="64">
        <f t="shared" si="12"/>
        <v>0</v>
      </c>
      <c r="S34" s="65">
        <f t="shared" si="8"/>
        <v>0</v>
      </c>
      <c r="T34" s="150">
        <v>2</v>
      </c>
      <c r="U34" s="39">
        <v>2</v>
      </c>
      <c r="V34" s="39"/>
      <c r="W34" s="41">
        <v>1</v>
      </c>
      <c r="X34" s="64">
        <f t="shared" si="9"/>
        <v>23</v>
      </c>
      <c r="Y34" s="65">
        <f t="shared" si="10"/>
        <v>100.84954782132091</v>
      </c>
      <c r="Z34" s="150"/>
      <c r="AA34" s="39"/>
      <c r="AB34" s="39"/>
      <c r="AC34" s="41"/>
      <c r="AD34" s="64">
        <f t="shared" si="13"/>
        <v>0</v>
      </c>
      <c r="AE34" s="65">
        <f t="shared" si="11"/>
        <v>0</v>
      </c>
      <c r="AF34" s="76">
        <f t="shared" si="14"/>
        <v>302.54864346396272</v>
      </c>
    </row>
    <row r="35" spans="1:32" ht="15.95" thickBot="1">
      <c r="A35" s="34">
        <v>45858</v>
      </c>
      <c r="B35" s="40"/>
      <c r="C35" s="39"/>
      <c r="D35" s="39"/>
      <c r="E35" s="41"/>
      <c r="F35" s="64">
        <f t="shared" si="4"/>
        <v>0</v>
      </c>
      <c r="G35" s="65">
        <f t="shared" si="5"/>
        <v>0</v>
      </c>
      <c r="H35" s="150"/>
      <c r="I35" s="39"/>
      <c r="J35" s="39"/>
      <c r="K35" s="41"/>
      <c r="L35" s="64">
        <f t="shared" si="6"/>
        <v>0</v>
      </c>
      <c r="M35" s="65">
        <f t="shared" si="7"/>
        <v>0</v>
      </c>
      <c r="N35" s="150"/>
      <c r="O35" s="39"/>
      <c r="P35" s="39"/>
      <c r="Q35" s="41"/>
      <c r="R35" s="64">
        <f t="shared" si="12"/>
        <v>0</v>
      </c>
      <c r="S35" s="65">
        <f t="shared" si="8"/>
        <v>0</v>
      </c>
      <c r="T35" s="150"/>
      <c r="U35" s="39"/>
      <c r="V35" s="39"/>
      <c r="W35" s="41"/>
      <c r="X35" s="64">
        <f t="shared" si="9"/>
        <v>0</v>
      </c>
      <c r="Y35" s="65">
        <f t="shared" si="10"/>
        <v>0</v>
      </c>
      <c r="Z35" s="150"/>
      <c r="AA35" s="39"/>
      <c r="AB35" s="39"/>
      <c r="AC35" s="41"/>
      <c r="AD35" s="64">
        <f t="shared" si="13"/>
        <v>0</v>
      </c>
      <c r="AE35" s="65">
        <f t="shared" si="11"/>
        <v>0</v>
      </c>
      <c r="AF35" s="76">
        <f t="shared" si="14"/>
        <v>0</v>
      </c>
    </row>
    <row r="36" spans="1:32" ht="15.95" thickBot="1">
      <c r="A36" s="34">
        <v>45859</v>
      </c>
      <c r="B36" s="40"/>
      <c r="C36" s="39"/>
      <c r="D36" s="39"/>
      <c r="E36" s="41"/>
      <c r="F36" s="64">
        <f t="shared" si="4"/>
        <v>0</v>
      </c>
      <c r="G36" s="65">
        <f t="shared" si="5"/>
        <v>0</v>
      </c>
      <c r="H36" s="150"/>
      <c r="I36" s="39"/>
      <c r="J36" s="39"/>
      <c r="K36" s="41"/>
      <c r="L36" s="64">
        <f t="shared" si="6"/>
        <v>0</v>
      </c>
      <c r="M36" s="65">
        <f t="shared" si="7"/>
        <v>0</v>
      </c>
      <c r="N36" s="150"/>
      <c r="O36" s="39">
        <v>1</v>
      </c>
      <c r="P36" s="39"/>
      <c r="Q36" s="41"/>
      <c r="R36" s="64">
        <f t="shared" si="12"/>
        <v>6</v>
      </c>
      <c r="S36" s="65">
        <f t="shared" si="8"/>
        <v>26.308577692518497</v>
      </c>
      <c r="T36" s="150">
        <v>2</v>
      </c>
      <c r="U36" s="39">
        <v>3</v>
      </c>
      <c r="V36" s="39"/>
      <c r="W36" s="41">
        <v>1</v>
      </c>
      <c r="X36" s="64">
        <f t="shared" si="9"/>
        <v>29</v>
      </c>
      <c r="Y36" s="65">
        <f t="shared" si="10"/>
        <v>127.15812551383941</v>
      </c>
      <c r="Z36" s="150">
        <v>3</v>
      </c>
      <c r="AA36" s="39"/>
      <c r="AB36" s="39"/>
      <c r="AC36" s="41"/>
      <c r="AD36" s="64">
        <f t="shared" si="13"/>
        <v>12</v>
      </c>
      <c r="AE36" s="65">
        <f t="shared" si="11"/>
        <v>52.617155385036995</v>
      </c>
      <c r="AF36" s="76">
        <f t="shared" si="14"/>
        <v>206.08385859139491</v>
      </c>
    </row>
    <row r="37" spans="1:32" ht="15.95" thickBot="1">
      <c r="A37" s="34">
        <v>45860</v>
      </c>
      <c r="B37" s="40"/>
      <c r="C37" s="39"/>
      <c r="D37" s="39"/>
      <c r="E37" s="41"/>
      <c r="F37" s="64">
        <f t="shared" si="4"/>
        <v>0</v>
      </c>
      <c r="G37" s="65">
        <f t="shared" si="5"/>
        <v>0</v>
      </c>
      <c r="H37" s="150"/>
      <c r="I37" s="39"/>
      <c r="J37" s="39"/>
      <c r="K37" s="41"/>
      <c r="L37" s="64">
        <f t="shared" si="6"/>
        <v>0</v>
      </c>
      <c r="M37" s="65">
        <f t="shared" si="7"/>
        <v>0</v>
      </c>
      <c r="N37" s="150"/>
      <c r="O37" s="39"/>
      <c r="P37" s="39"/>
      <c r="Q37" s="41"/>
      <c r="R37" s="64">
        <f t="shared" si="12"/>
        <v>0</v>
      </c>
      <c r="S37" s="65">
        <f t="shared" si="8"/>
        <v>0</v>
      </c>
      <c r="T37" s="150">
        <v>1</v>
      </c>
      <c r="U37" s="39"/>
      <c r="V37" s="39"/>
      <c r="W37" s="41"/>
      <c r="X37" s="64">
        <f t="shared" si="9"/>
        <v>4</v>
      </c>
      <c r="Y37" s="65">
        <f t="shared" si="10"/>
        <v>17.53905179501233</v>
      </c>
      <c r="Z37" s="150">
        <v>1</v>
      </c>
      <c r="AA37" s="39"/>
      <c r="AB37" s="39"/>
      <c r="AC37" s="41"/>
      <c r="AD37" s="64">
        <f t="shared" si="13"/>
        <v>4</v>
      </c>
      <c r="AE37" s="65">
        <f t="shared" si="11"/>
        <v>17.53905179501233</v>
      </c>
      <c r="AF37" s="76">
        <f t="shared" si="14"/>
        <v>35.078103590024661</v>
      </c>
    </row>
    <row r="38" spans="1:32" ht="15.95" thickBot="1">
      <c r="A38" s="34">
        <v>45861</v>
      </c>
      <c r="B38" s="40"/>
      <c r="C38" s="39">
        <v>1</v>
      </c>
      <c r="D38" s="39"/>
      <c r="E38" s="41"/>
      <c r="F38" s="64">
        <f t="shared" si="4"/>
        <v>6</v>
      </c>
      <c r="G38" s="65">
        <f t="shared" si="5"/>
        <v>26.308577692518497</v>
      </c>
      <c r="H38" s="150">
        <v>2</v>
      </c>
      <c r="I38" s="39">
        <v>1</v>
      </c>
      <c r="J38" s="39"/>
      <c r="K38" s="41"/>
      <c r="L38" s="64">
        <f t="shared" si="6"/>
        <v>14</v>
      </c>
      <c r="M38" s="65">
        <f t="shared" si="7"/>
        <v>61.386681282543165</v>
      </c>
      <c r="N38" s="150"/>
      <c r="O38" s="39"/>
      <c r="P38" s="39"/>
      <c r="Q38" s="41"/>
      <c r="R38" s="64">
        <f t="shared" si="12"/>
        <v>0</v>
      </c>
      <c r="S38" s="65">
        <f t="shared" si="8"/>
        <v>0</v>
      </c>
      <c r="T38" s="150">
        <v>2</v>
      </c>
      <c r="U38" s="39">
        <v>1</v>
      </c>
      <c r="V38" s="39"/>
      <c r="W38" s="41">
        <v>1</v>
      </c>
      <c r="X38" s="64">
        <f t="shared" si="9"/>
        <v>17</v>
      </c>
      <c r="Y38" s="65">
        <f t="shared" si="10"/>
        <v>74.540970128802414</v>
      </c>
      <c r="Z38" s="150">
        <v>2</v>
      </c>
      <c r="AA38" s="39">
        <v>1</v>
      </c>
      <c r="AB38" s="39"/>
      <c r="AC38" s="41">
        <v>1</v>
      </c>
      <c r="AD38" s="64">
        <f t="shared" si="13"/>
        <v>17</v>
      </c>
      <c r="AE38" s="65">
        <f t="shared" si="11"/>
        <v>74.540970128802414</v>
      </c>
      <c r="AF38" s="76">
        <f t="shared" si="14"/>
        <v>236.77719923266648</v>
      </c>
    </row>
    <row r="39" spans="1:32" ht="15.95" thickBot="1">
      <c r="A39" s="34">
        <v>45862</v>
      </c>
      <c r="B39" s="40">
        <v>1</v>
      </c>
      <c r="C39" s="39">
        <v>2</v>
      </c>
      <c r="D39" s="39"/>
      <c r="E39" s="41">
        <v>1</v>
      </c>
      <c r="F39" s="64">
        <f t="shared" si="4"/>
        <v>19</v>
      </c>
      <c r="G39" s="65">
        <f t="shared" si="5"/>
        <v>83.310496026308584</v>
      </c>
      <c r="H39" s="150">
        <v>2</v>
      </c>
      <c r="I39" s="39">
        <v>1</v>
      </c>
      <c r="J39" s="39"/>
      <c r="K39" s="41"/>
      <c r="L39" s="64">
        <f t="shared" si="6"/>
        <v>14</v>
      </c>
      <c r="M39" s="65">
        <f t="shared" si="7"/>
        <v>61.386681282543165</v>
      </c>
      <c r="N39" s="150"/>
      <c r="O39" s="39">
        <v>1</v>
      </c>
      <c r="P39" s="39"/>
      <c r="Q39" s="41"/>
      <c r="R39" s="64">
        <f t="shared" si="12"/>
        <v>6</v>
      </c>
      <c r="S39" s="65">
        <f t="shared" si="8"/>
        <v>26.308577692518497</v>
      </c>
      <c r="T39" s="150">
        <v>3</v>
      </c>
      <c r="U39" s="39">
        <v>1</v>
      </c>
      <c r="V39" s="39"/>
      <c r="W39" s="41"/>
      <c r="X39" s="64">
        <f t="shared" si="9"/>
        <v>18</v>
      </c>
      <c r="Y39" s="65">
        <f t="shared" si="10"/>
        <v>78.925733077555492</v>
      </c>
      <c r="Z39" s="150">
        <v>2</v>
      </c>
      <c r="AA39" s="39">
        <v>1</v>
      </c>
      <c r="AB39" s="39"/>
      <c r="AC39" s="41">
        <v>1</v>
      </c>
      <c r="AD39" s="64">
        <f t="shared" si="13"/>
        <v>17</v>
      </c>
      <c r="AE39" s="65">
        <f t="shared" si="11"/>
        <v>74.540970128802414</v>
      </c>
      <c r="AF39" s="76">
        <f t="shared" si="14"/>
        <v>324.47245820772815</v>
      </c>
    </row>
    <row r="40" spans="1:32" ht="15.95" thickBot="1">
      <c r="A40" s="34">
        <v>45863</v>
      </c>
      <c r="B40" s="40">
        <v>2</v>
      </c>
      <c r="C40" s="39">
        <v>1</v>
      </c>
      <c r="D40" s="39"/>
      <c r="E40" s="41"/>
      <c r="F40" s="64">
        <f t="shared" si="4"/>
        <v>14</v>
      </c>
      <c r="G40" s="65">
        <f t="shared" si="5"/>
        <v>61.386681282543165</v>
      </c>
      <c r="H40" s="150">
        <v>5</v>
      </c>
      <c r="I40" s="39">
        <v>1</v>
      </c>
      <c r="J40" s="39"/>
      <c r="K40" s="41"/>
      <c r="L40" s="64">
        <f t="shared" si="6"/>
        <v>26</v>
      </c>
      <c r="M40" s="65">
        <f t="shared" si="7"/>
        <v>114.00383666758016</v>
      </c>
      <c r="N40" s="150">
        <v>1</v>
      </c>
      <c r="O40" s="39">
        <v>1</v>
      </c>
      <c r="P40" s="39"/>
      <c r="Q40" s="41"/>
      <c r="R40" s="64">
        <f t="shared" si="12"/>
        <v>10</v>
      </c>
      <c r="S40" s="65">
        <f t="shared" si="8"/>
        <v>43.847629487530831</v>
      </c>
      <c r="T40" s="150">
        <v>2</v>
      </c>
      <c r="U40" s="39">
        <v>2</v>
      </c>
      <c r="V40" s="39"/>
      <c r="W40" s="41">
        <v>1</v>
      </c>
      <c r="X40" s="64">
        <f t="shared" si="9"/>
        <v>23</v>
      </c>
      <c r="Y40" s="65">
        <f t="shared" si="10"/>
        <v>100.84954782132091</v>
      </c>
      <c r="Z40" s="150">
        <v>3</v>
      </c>
      <c r="AA40" s="39">
        <v>1</v>
      </c>
      <c r="AB40" s="39"/>
      <c r="AC40" s="41">
        <v>1</v>
      </c>
      <c r="AD40" s="64">
        <f t="shared" si="13"/>
        <v>21</v>
      </c>
      <c r="AE40" s="65">
        <f t="shared" si="11"/>
        <v>92.080021923814741</v>
      </c>
      <c r="AF40" s="76">
        <f t="shared" si="14"/>
        <v>412.16771718278977</v>
      </c>
    </row>
    <row r="41" spans="1:32" ht="15.95" thickBot="1">
      <c r="A41" s="34">
        <v>45864</v>
      </c>
      <c r="B41" s="40">
        <v>1</v>
      </c>
      <c r="C41" s="39">
        <v>1</v>
      </c>
      <c r="D41" s="39"/>
      <c r="E41" s="41">
        <v>1</v>
      </c>
      <c r="F41" s="64">
        <f t="shared" si="4"/>
        <v>13</v>
      </c>
      <c r="G41" s="65">
        <f t="shared" si="5"/>
        <v>57.00191833379008</v>
      </c>
      <c r="H41" s="150">
        <v>2</v>
      </c>
      <c r="I41" s="39">
        <v>1</v>
      </c>
      <c r="J41" s="39"/>
      <c r="K41" s="41"/>
      <c r="L41" s="64">
        <f t="shared" si="6"/>
        <v>14</v>
      </c>
      <c r="M41" s="65">
        <f t="shared" si="7"/>
        <v>61.386681282543165</v>
      </c>
      <c r="N41" s="150">
        <v>1</v>
      </c>
      <c r="O41" s="39">
        <v>1</v>
      </c>
      <c r="P41" s="39"/>
      <c r="Q41" s="41"/>
      <c r="R41" s="64">
        <f t="shared" si="12"/>
        <v>10</v>
      </c>
      <c r="S41" s="65">
        <f t="shared" si="8"/>
        <v>43.847629487530831</v>
      </c>
      <c r="T41" s="150">
        <v>2</v>
      </c>
      <c r="U41" s="39">
        <v>1</v>
      </c>
      <c r="V41" s="39"/>
      <c r="W41" s="41"/>
      <c r="X41" s="64">
        <f t="shared" si="9"/>
        <v>14</v>
      </c>
      <c r="Y41" s="65">
        <f t="shared" si="10"/>
        <v>61.386681282543165</v>
      </c>
      <c r="Z41" s="150">
        <v>2</v>
      </c>
      <c r="AA41" s="39">
        <v>1</v>
      </c>
      <c r="AB41" s="39"/>
      <c r="AC41" s="41">
        <v>2</v>
      </c>
      <c r="AD41" s="64">
        <f t="shared" si="13"/>
        <v>20</v>
      </c>
      <c r="AE41" s="65">
        <f t="shared" si="11"/>
        <v>87.695258975061662</v>
      </c>
      <c r="AF41" s="76">
        <f t="shared" si="14"/>
        <v>311.3181693614689</v>
      </c>
    </row>
    <row r="42" spans="1:32" ht="15.95" thickBot="1">
      <c r="A42" s="34">
        <v>45865</v>
      </c>
      <c r="B42" s="40"/>
      <c r="C42" s="39"/>
      <c r="D42" s="39"/>
      <c r="E42" s="41"/>
      <c r="F42" s="64">
        <f t="shared" si="4"/>
        <v>0</v>
      </c>
      <c r="G42" s="65">
        <f t="shared" si="5"/>
        <v>0</v>
      </c>
      <c r="H42" s="150"/>
      <c r="I42" s="39"/>
      <c r="J42" s="39"/>
      <c r="K42" s="41"/>
      <c r="L42" s="64">
        <f t="shared" si="6"/>
        <v>0</v>
      </c>
      <c r="M42" s="65">
        <f t="shared" si="7"/>
        <v>0</v>
      </c>
      <c r="N42" s="150"/>
      <c r="O42" s="39"/>
      <c r="P42" s="39"/>
      <c r="Q42" s="41"/>
      <c r="R42" s="64">
        <f t="shared" si="12"/>
        <v>0</v>
      </c>
      <c r="S42" s="65">
        <f t="shared" si="8"/>
        <v>0</v>
      </c>
      <c r="T42" s="150"/>
      <c r="U42" s="39"/>
      <c r="V42" s="39"/>
      <c r="W42" s="41"/>
      <c r="X42" s="64">
        <f t="shared" si="9"/>
        <v>0</v>
      </c>
      <c r="Y42" s="65">
        <f t="shared" si="10"/>
        <v>0</v>
      </c>
      <c r="Z42" s="150"/>
      <c r="AA42" s="39"/>
      <c r="AB42" s="39"/>
      <c r="AC42" s="41"/>
      <c r="AD42" s="64">
        <f t="shared" si="13"/>
        <v>0</v>
      </c>
      <c r="AE42" s="65">
        <f t="shared" si="11"/>
        <v>0</v>
      </c>
      <c r="AF42" s="76">
        <f t="shared" si="14"/>
        <v>0</v>
      </c>
    </row>
    <row r="43" spans="1:32" ht="15.95" thickBot="1">
      <c r="A43" s="34">
        <v>45866</v>
      </c>
      <c r="B43" s="40"/>
      <c r="C43" s="39"/>
      <c r="D43" s="39"/>
      <c r="E43" s="41"/>
      <c r="F43" s="64">
        <f t="shared" si="4"/>
        <v>0</v>
      </c>
      <c r="G43" s="65">
        <f t="shared" si="5"/>
        <v>0</v>
      </c>
      <c r="H43" s="150"/>
      <c r="I43" s="39"/>
      <c r="J43" s="39"/>
      <c r="K43" s="41"/>
      <c r="L43" s="64">
        <f t="shared" si="6"/>
        <v>0</v>
      </c>
      <c r="M43" s="65">
        <f t="shared" si="7"/>
        <v>0</v>
      </c>
      <c r="N43" s="150">
        <v>1</v>
      </c>
      <c r="O43" s="39">
        <v>1</v>
      </c>
      <c r="P43" s="39"/>
      <c r="Q43" s="41"/>
      <c r="R43" s="64">
        <f t="shared" si="12"/>
        <v>10</v>
      </c>
      <c r="S43" s="65">
        <f t="shared" si="8"/>
        <v>43.847629487530831</v>
      </c>
      <c r="T43" s="150">
        <v>1</v>
      </c>
      <c r="U43" s="39"/>
      <c r="V43" s="39"/>
      <c r="W43" s="41"/>
      <c r="X43" s="64">
        <f t="shared" si="9"/>
        <v>4</v>
      </c>
      <c r="Y43" s="65">
        <f t="shared" si="10"/>
        <v>17.53905179501233</v>
      </c>
      <c r="Z43" s="150">
        <v>1</v>
      </c>
      <c r="AA43" s="39"/>
      <c r="AB43" s="39"/>
      <c r="AC43" s="41"/>
      <c r="AD43" s="64">
        <f t="shared" si="13"/>
        <v>4</v>
      </c>
      <c r="AE43" s="65">
        <f t="shared" si="11"/>
        <v>17.53905179501233</v>
      </c>
      <c r="AF43" s="76">
        <f t="shared" si="14"/>
        <v>78.925733077555492</v>
      </c>
    </row>
    <row r="44" spans="1:32" ht="15.95" thickBot="1">
      <c r="A44" s="34">
        <v>45867</v>
      </c>
      <c r="B44" s="40">
        <v>1</v>
      </c>
      <c r="C44" s="39">
        <v>2</v>
      </c>
      <c r="D44" s="39"/>
      <c r="E44" s="41">
        <v>1</v>
      </c>
      <c r="F44" s="64">
        <f t="shared" si="4"/>
        <v>19</v>
      </c>
      <c r="G44" s="65">
        <f t="shared" si="5"/>
        <v>83.310496026308584</v>
      </c>
      <c r="H44" s="150">
        <v>2</v>
      </c>
      <c r="I44" s="39">
        <v>1</v>
      </c>
      <c r="J44" s="39"/>
      <c r="K44" s="41">
        <v>1</v>
      </c>
      <c r="L44" s="64">
        <f t="shared" si="6"/>
        <v>17</v>
      </c>
      <c r="M44" s="65">
        <f t="shared" si="7"/>
        <v>74.540970128802414</v>
      </c>
      <c r="N44" s="150">
        <v>2</v>
      </c>
      <c r="O44" s="39"/>
      <c r="P44" s="39"/>
      <c r="Q44" s="41">
        <v>1</v>
      </c>
      <c r="R44" s="64">
        <f t="shared" si="12"/>
        <v>11</v>
      </c>
      <c r="S44" s="65">
        <f t="shared" si="8"/>
        <v>48.232392436283916</v>
      </c>
      <c r="T44" s="150">
        <v>1</v>
      </c>
      <c r="U44" s="39">
        <v>2</v>
      </c>
      <c r="V44" s="39"/>
      <c r="W44" s="41"/>
      <c r="X44" s="64">
        <f t="shared" si="9"/>
        <v>16</v>
      </c>
      <c r="Y44" s="65">
        <f t="shared" si="10"/>
        <v>70.156207180049321</v>
      </c>
      <c r="Z44" s="150">
        <v>1</v>
      </c>
      <c r="AA44" s="39">
        <v>1</v>
      </c>
      <c r="AB44" s="39"/>
      <c r="AC44" s="41">
        <v>1</v>
      </c>
      <c r="AD44" s="64">
        <f t="shared" si="13"/>
        <v>13</v>
      </c>
      <c r="AE44" s="65">
        <f t="shared" si="11"/>
        <v>57.00191833379008</v>
      </c>
      <c r="AF44" s="76">
        <f t="shared" si="14"/>
        <v>333.24198410523428</v>
      </c>
    </row>
    <row r="45" spans="1:32" ht="15.95" thickBot="1">
      <c r="A45" s="34">
        <v>45868</v>
      </c>
      <c r="B45" s="42"/>
      <c r="C45" s="43">
        <v>1</v>
      </c>
      <c r="D45" s="43"/>
      <c r="E45" s="44"/>
      <c r="F45" s="64">
        <f t="shared" si="4"/>
        <v>6</v>
      </c>
      <c r="G45" s="144">
        <f t="shared" si="5"/>
        <v>26.308577692518497</v>
      </c>
      <c r="H45" s="151"/>
      <c r="I45" s="43"/>
      <c r="J45" s="43"/>
      <c r="K45" s="44"/>
      <c r="L45" s="143">
        <f t="shared" si="6"/>
        <v>0</v>
      </c>
      <c r="M45" s="144">
        <f t="shared" si="7"/>
        <v>0</v>
      </c>
      <c r="N45" s="151">
        <v>1</v>
      </c>
      <c r="O45" s="43">
        <v>1</v>
      </c>
      <c r="P45" s="43"/>
      <c r="Q45" s="44"/>
      <c r="R45" s="143">
        <f t="shared" si="12"/>
        <v>10</v>
      </c>
      <c r="S45" s="144">
        <f t="shared" si="8"/>
        <v>43.847629487530831</v>
      </c>
      <c r="T45" s="151">
        <v>2</v>
      </c>
      <c r="U45" s="43"/>
      <c r="V45" s="43"/>
      <c r="W45" s="44"/>
      <c r="X45" s="143">
        <f t="shared" si="9"/>
        <v>8</v>
      </c>
      <c r="Y45" s="144">
        <f t="shared" si="10"/>
        <v>35.078103590024661</v>
      </c>
      <c r="Z45" s="151">
        <v>3</v>
      </c>
      <c r="AA45" s="43">
        <v>1</v>
      </c>
      <c r="AB45" s="43"/>
      <c r="AC45" s="44">
        <v>1</v>
      </c>
      <c r="AD45" s="64">
        <f t="shared" si="13"/>
        <v>21</v>
      </c>
      <c r="AE45" s="159">
        <f t="shared" si="11"/>
        <v>92.080021923814741</v>
      </c>
      <c r="AF45" s="100">
        <f t="shared" si="14"/>
        <v>197.31433269388873</v>
      </c>
    </row>
    <row r="46" spans="1:32" ht="15.95" thickBot="1">
      <c r="A46" s="34">
        <v>45869</v>
      </c>
      <c r="B46" s="141"/>
      <c r="C46" s="142"/>
      <c r="D46" s="142"/>
      <c r="E46" s="142"/>
      <c r="F46" s="67">
        <f t="shared" si="4"/>
        <v>0</v>
      </c>
      <c r="G46" s="157"/>
      <c r="H46" s="152"/>
      <c r="I46" s="142"/>
      <c r="J46" s="142"/>
      <c r="K46" s="145"/>
      <c r="L46" s="153">
        <f t="shared" si="6"/>
        <v>0</v>
      </c>
      <c r="M46" s="158"/>
      <c r="N46" s="152"/>
      <c r="O46" s="142"/>
      <c r="P46" s="142"/>
      <c r="Q46" s="145"/>
      <c r="R46" s="153">
        <f t="shared" si="12"/>
        <v>0</v>
      </c>
      <c r="S46" s="157">
        <f t="shared" si="8"/>
        <v>0</v>
      </c>
      <c r="T46" s="152">
        <v>2</v>
      </c>
      <c r="U46" s="142"/>
      <c r="V46" s="142"/>
      <c r="W46" s="145"/>
      <c r="X46" s="153">
        <f t="shared" si="9"/>
        <v>8</v>
      </c>
      <c r="Y46" s="154">
        <f t="shared" si="10"/>
        <v>35.078103590024661</v>
      </c>
      <c r="Z46" s="152"/>
      <c r="AA46" s="142"/>
      <c r="AB46" s="142"/>
      <c r="AC46" s="142"/>
      <c r="AD46" s="67">
        <f t="shared" si="13"/>
        <v>0</v>
      </c>
      <c r="AE46" s="160">
        <f t="shared" si="11"/>
        <v>0</v>
      </c>
      <c r="AF46" s="100">
        <f>G46+M46+AE46+S46+Y46</f>
        <v>35.078103590024661</v>
      </c>
    </row>
    <row r="47" spans="1:32" ht="18.600000000000001">
      <c r="G47" s="111">
        <f>SUM(G16:G46)</f>
        <v>1289.1203069334065</v>
      </c>
      <c r="M47" s="111">
        <f>SUM(M16:M46)</f>
        <v>1565.3603727048505</v>
      </c>
      <c r="S47" s="111">
        <f>SUM(S16:S46)</f>
        <v>855.02877500685133</v>
      </c>
      <c r="Y47" s="111">
        <f>SUM(Y16:Y46)</f>
        <v>1753.9051795012331</v>
      </c>
      <c r="AE47" s="111">
        <f>SUM(AE16:AE46)</f>
        <v>1753.9051795012333</v>
      </c>
      <c r="AF47" s="102">
        <f>SUM(AF16:AF46)</f>
        <v>7217.3198136475721</v>
      </c>
    </row>
    <row r="48" spans="1:32">
      <c r="G48" s="111">
        <f>G4</f>
        <v>2850.0959166895041</v>
      </c>
      <c r="M48" s="111">
        <f>G5</f>
        <v>2394.0805700191831</v>
      </c>
      <c r="S48" s="111">
        <f>G6</f>
        <v>2394.0805700191831</v>
      </c>
      <c r="Y48" s="111">
        <f>G7</f>
        <v>2394.0805700191831</v>
      </c>
      <c r="AE48" s="111">
        <f>G8</f>
        <v>1938.0652233488627</v>
      </c>
      <c r="AF48" s="147">
        <f>G12</f>
        <v>11970.402850095918</v>
      </c>
    </row>
    <row r="49" spans="1:32" s="162" customFormat="1" ht="14.45">
      <c r="A49" s="161"/>
      <c r="G49" s="71">
        <f>G47/G48</f>
        <v>0.4523076923076923</v>
      </c>
      <c r="M49" s="71">
        <f>M47/M48</f>
        <v>0.65384615384615385</v>
      </c>
      <c r="S49" s="71">
        <f>S47/S48</f>
        <v>0.35714285714285721</v>
      </c>
      <c r="Y49" s="71">
        <f>Y47/Y48</f>
        <v>0.73260073260073255</v>
      </c>
      <c r="AE49" s="71">
        <f>AE47/AE48</f>
        <v>0.90497737556561098</v>
      </c>
      <c r="AF49" s="71">
        <f>AF47/AF48</f>
        <v>0.60293040293040268</v>
      </c>
    </row>
    <row r="52" spans="1:32">
      <c r="E52" s="139"/>
    </row>
    <row r="54" spans="1:32">
      <c r="G54" s="57"/>
    </row>
    <row r="55" spans="1:32">
      <c r="E55" s="139"/>
      <c r="F55" s="140"/>
      <c r="G55" s="57"/>
    </row>
    <row r="56" spans="1:32">
      <c r="E56" s="139"/>
    </row>
    <row r="57" spans="1:32">
      <c r="E57" s="139"/>
    </row>
    <row r="58" spans="1:32">
      <c r="E58" s="139"/>
    </row>
    <row r="59" spans="1:32">
      <c r="E59" s="139"/>
    </row>
    <row r="60" spans="1:32">
      <c r="E60" s="139"/>
    </row>
    <row r="61" spans="1:32">
      <c r="E61" s="139"/>
    </row>
    <row r="62" spans="1:32">
      <c r="E62" s="139"/>
    </row>
    <row r="63" spans="1:32">
      <c r="E63" s="139"/>
    </row>
    <row r="64" spans="1:32">
      <c r="E64" s="139"/>
    </row>
  </sheetData>
  <mergeCells count="26">
    <mergeCell ref="R14:R15"/>
    <mergeCell ref="S14:S15"/>
    <mergeCell ref="T14:W14"/>
    <mergeCell ref="X14:X15"/>
    <mergeCell ref="Y14:Y15"/>
    <mergeCell ref="N13:S13"/>
    <mergeCell ref="T13:Y13"/>
    <mergeCell ref="Z13:AE13"/>
    <mergeCell ref="AF13:AF15"/>
    <mergeCell ref="B14:E14"/>
    <mergeCell ref="F14:F15"/>
    <mergeCell ref="G14:G15"/>
    <mergeCell ref="H14:K14"/>
    <mergeCell ref="L14:L15"/>
    <mergeCell ref="M14:M15"/>
    <mergeCell ref="B13:G13"/>
    <mergeCell ref="H13:M13"/>
    <mergeCell ref="Z14:AC14"/>
    <mergeCell ref="AD14:AD15"/>
    <mergeCell ref="AE14:AE15"/>
    <mergeCell ref="N14:Q14"/>
    <mergeCell ref="B2:E2"/>
    <mergeCell ref="F2:F3"/>
    <mergeCell ref="G2:G3"/>
    <mergeCell ref="H2:H3"/>
    <mergeCell ref="I2:I3"/>
  </mergeCells>
  <pageMargins left="0.7" right="0.7" top="0.75" bottom="0.75" header="0.3" footer="0.3"/>
  <pageSetup orientation="portrait"/>
  <customProperties>
    <customPr name="Epm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4D60-96DD-46E3-9E5C-6ADB88964816}">
  <dimension ref="A1:AF93"/>
  <sheetViews>
    <sheetView topLeftCell="A7" zoomScale="70" zoomScaleNormal="70" workbookViewId="0">
      <pane xSplit="1" topLeftCell="J1" activePane="topRight" state="frozen"/>
      <selection pane="topRight" activeCell="AF35" sqref="AF35"/>
    </sheetView>
  </sheetViews>
  <sheetFormatPr defaultColWidth="8.7109375" defaultRowHeight="15.6"/>
  <cols>
    <col min="1" max="1" width="26.85546875" style="32" customWidth="1"/>
    <col min="2" max="2" width="9.140625" style="31" bestFit="1" customWidth="1"/>
    <col min="3" max="3" width="12.140625" style="31" customWidth="1"/>
    <col min="4" max="4" width="22.42578125" style="31" customWidth="1"/>
    <col min="5" max="5" width="10.85546875" style="31" bestFit="1" customWidth="1"/>
    <col min="6" max="6" width="11.85546875" style="31" customWidth="1"/>
    <col min="7" max="7" width="12.42578125" style="31" customWidth="1"/>
    <col min="8" max="8" width="11.85546875" style="31" customWidth="1"/>
    <col min="9" max="9" width="11.5703125" style="31" customWidth="1"/>
    <col min="10" max="11" width="9.140625" style="31"/>
    <col min="12" max="12" width="13.85546875" style="31" customWidth="1"/>
    <col min="13" max="13" width="10.42578125" style="31" customWidth="1"/>
    <col min="14" max="14" width="11.140625" style="31" customWidth="1"/>
    <col min="15" max="15" width="12.5703125" style="31" customWidth="1"/>
    <col min="16" max="16" width="9.85546875" style="31" customWidth="1"/>
    <col min="17" max="17" width="9.140625" style="31"/>
    <col min="18" max="18" width="10.85546875" style="31" customWidth="1"/>
    <col min="19" max="19" width="10.5703125" style="31" customWidth="1"/>
    <col min="20" max="23" width="9.140625" style="31"/>
    <col min="24" max="24" width="10.5703125" style="31" customWidth="1"/>
    <col min="25" max="25" width="11.42578125" style="31" customWidth="1"/>
    <col min="26" max="29" width="9.140625" style="31"/>
    <col min="30" max="30" width="11.28515625" style="31" customWidth="1"/>
    <col min="31" max="31" width="9.85546875" style="31" customWidth="1"/>
    <col min="32" max="32" width="14.85546875" style="59" customWidth="1"/>
    <col min="33" max="16384" width="8.7109375" style="31"/>
  </cols>
  <sheetData>
    <row r="1" spans="1:32">
      <c r="A1" s="45" t="s">
        <v>0</v>
      </c>
    </row>
    <row r="2" spans="1:32" ht="22.5" customHeight="1">
      <c r="A2" s="25" t="s">
        <v>82</v>
      </c>
      <c r="B2" s="177" t="s">
        <v>2</v>
      </c>
      <c r="C2" s="178"/>
      <c r="D2" s="178"/>
      <c r="E2" s="178"/>
      <c r="F2" s="181" t="s">
        <v>3</v>
      </c>
      <c r="G2" s="179" t="s">
        <v>4</v>
      </c>
      <c r="H2" s="181" t="s">
        <v>5</v>
      </c>
      <c r="I2" s="181" t="s">
        <v>6</v>
      </c>
    </row>
    <row r="3" spans="1:32" ht="23.45" customHeight="1">
      <c r="A3" s="26" t="s">
        <v>7</v>
      </c>
      <c r="B3" s="124" t="s">
        <v>8</v>
      </c>
      <c r="C3" s="125" t="s">
        <v>9</v>
      </c>
      <c r="D3" s="125" t="s">
        <v>10</v>
      </c>
      <c r="E3" s="126" t="s">
        <v>11</v>
      </c>
      <c r="F3" s="208"/>
      <c r="G3" s="209"/>
      <c r="H3" s="208"/>
      <c r="I3" s="208"/>
      <c r="L3" s="72" t="s">
        <v>131</v>
      </c>
    </row>
    <row r="4" spans="1:32">
      <c r="A4" s="120" t="s">
        <v>12</v>
      </c>
      <c r="B4" s="121">
        <v>3</v>
      </c>
      <c r="C4" s="8">
        <v>1</v>
      </c>
      <c r="D4" s="8">
        <v>1</v>
      </c>
      <c r="E4" s="8">
        <v>1</v>
      </c>
      <c r="F4" s="122">
        <f>(B4*4)+(C4*6)+(D4*4)+(E4*3)</f>
        <v>25</v>
      </c>
      <c r="G4" s="123">
        <f>($F4*8*26)/1.8245</f>
        <v>2850.0959166895041</v>
      </c>
      <c r="H4" s="20">
        <f>G4/4</f>
        <v>712.52397917237602</v>
      </c>
      <c r="I4" s="123">
        <f>($F4*8)/1.8245</f>
        <v>109.61907371882708</v>
      </c>
      <c r="J4" s="130"/>
      <c r="L4" s="31" t="s">
        <v>12</v>
      </c>
      <c r="M4" s="111">
        <f>SUM(G16:G38)</f>
        <v>1293.5050698821594</v>
      </c>
      <c r="O4" s="57"/>
    </row>
    <row r="5" spans="1:32">
      <c r="A5" s="120" t="s">
        <v>13</v>
      </c>
      <c r="B5" s="127">
        <v>2</v>
      </c>
      <c r="C5" s="7">
        <v>1</v>
      </c>
      <c r="D5" s="8">
        <v>1</v>
      </c>
      <c r="E5" s="7">
        <v>1</v>
      </c>
      <c r="F5" s="122">
        <f>(B5*4)+(C5*6)+(D5*4)+(E5*3)</f>
        <v>21</v>
      </c>
      <c r="G5" s="123">
        <f>($F5*8*26)/1.8245</f>
        <v>2394.0805700191831</v>
      </c>
      <c r="H5" s="20">
        <f>G5/4</f>
        <v>598.52014250479579</v>
      </c>
      <c r="I5" s="123">
        <f>($F5*8)/1.8245</f>
        <v>92.080021923814741</v>
      </c>
      <c r="J5" s="130"/>
      <c r="L5" s="31" t="s">
        <v>20</v>
      </c>
      <c r="M5" s="111">
        <f>SUM(M16:M38)</f>
        <v>513.01726500411075</v>
      </c>
      <c r="O5" s="57"/>
    </row>
    <row r="6" spans="1:32">
      <c r="A6" s="120" t="s">
        <v>14</v>
      </c>
      <c r="B6" s="121">
        <v>2</v>
      </c>
      <c r="C6" s="8">
        <v>1</v>
      </c>
      <c r="D6" s="8">
        <v>1</v>
      </c>
      <c r="E6" s="8">
        <v>1</v>
      </c>
      <c r="F6" s="122">
        <f>(B6*4)+(C6*6)+(D6*4)+(E6*3)</f>
        <v>21</v>
      </c>
      <c r="G6" s="123">
        <f>($F6*8*26)/1.8245</f>
        <v>2394.0805700191831</v>
      </c>
      <c r="H6" s="20">
        <f>G6/4</f>
        <v>598.52014250479579</v>
      </c>
      <c r="I6" s="123">
        <f>($F6*8)/1.8245</f>
        <v>92.080021923814741</v>
      </c>
      <c r="J6" s="130"/>
      <c r="L6" s="31" t="s">
        <v>14</v>
      </c>
      <c r="M6" s="111">
        <f>SUM(S16:S38)</f>
        <v>806.79638257056729</v>
      </c>
      <c r="O6" s="58"/>
    </row>
    <row r="7" spans="1:32">
      <c r="A7" s="120" t="s">
        <v>15</v>
      </c>
      <c r="B7" s="127">
        <v>2</v>
      </c>
      <c r="C7" s="12">
        <v>1</v>
      </c>
      <c r="D7" s="8">
        <v>1</v>
      </c>
      <c r="E7" s="8">
        <v>1</v>
      </c>
      <c r="F7" s="122">
        <f>(B7*4)+(C7*6)+(D7*4)+(E7*3)</f>
        <v>21</v>
      </c>
      <c r="G7" s="123">
        <f>($F7*8*26)/1.8245</f>
        <v>2394.0805700191831</v>
      </c>
      <c r="H7" s="20">
        <f>G7/4</f>
        <v>598.52014250479579</v>
      </c>
      <c r="I7" s="123">
        <f>($F7*8)/1.8245</f>
        <v>92.080021923814741</v>
      </c>
      <c r="J7" s="130"/>
      <c r="L7" s="31" t="s">
        <v>15</v>
      </c>
      <c r="M7" s="111">
        <f>SUM(Y16:Y38)</f>
        <v>1258.4269662921347</v>
      </c>
      <c r="O7" s="101"/>
    </row>
    <row r="8" spans="1:32">
      <c r="A8" s="120" t="s">
        <v>16</v>
      </c>
      <c r="B8" s="121">
        <v>2</v>
      </c>
      <c r="C8" s="8">
        <v>1</v>
      </c>
      <c r="D8" s="8"/>
      <c r="E8" s="8">
        <v>1</v>
      </c>
      <c r="F8" s="122">
        <f>(B8*4)+(C8*6)+(D8*4)+(E8*3)</f>
        <v>17</v>
      </c>
      <c r="G8" s="123">
        <f>($F8*8*26)/1.8245</f>
        <v>1938.0652233488627</v>
      </c>
      <c r="H8" s="20">
        <f>G8/4</f>
        <v>484.51630583721567</v>
      </c>
      <c r="I8" s="123">
        <f>($F8*8)/1.8245</f>
        <v>74.540970128802414</v>
      </c>
      <c r="J8" s="130"/>
      <c r="L8" s="31" t="s">
        <v>16</v>
      </c>
      <c r="M8" s="111">
        <f>SUM(AE16:AE38)</f>
        <v>982.18690052069053</v>
      </c>
      <c r="N8" s="132"/>
      <c r="O8" s="132"/>
    </row>
    <row r="9" spans="1:32">
      <c r="A9" s="120" t="s">
        <v>107</v>
      </c>
      <c r="B9" s="128">
        <v>1</v>
      </c>
      <c r="C9" s="12"/>
      <c r="D9" s="12"/>
      <c r="E9" s="12"/>
      <c r="F9" s="122">
        <f t="shared" ref="F9:F10" si="0">(B9*4)+(C9*6)+(D9*4)+(E9*3)</f>
        <v>4</v>
      </c>
      <c r="G9" s="123">
        <f t="shared" ref="G9:G10" si="1">($F9*8*26)/1.8245</f>
        <v>456.01534667032064</v>
      </c>
      <c r="H9" s="20">
        <f t="shared" ref="H9:H10" si="2">G9/4</f>
        <v>114.00383666758016</v>
      </c>
      <c r="I9" s="123">
        <f t="shared" ref="I9:I10" si="3">($F9*8)/1.8245</f>
        <v>17.53905179501233</v>
      </c>
      <c r="L9" s="31" t="s">
        <v>107</v>
      </c>
      <c r="M9" s="131"/>
      <c r="O9" s="131"/>
    </row>
    <row r="10" spans="1:32">
      <c r="A10" s="120" t="s">
        <v>108</v>
      </c>
      <c r="B10" s="128">
        <v>4</v>
      </c>
      <c r="C10" s="12"/>
      <c r="D10" s="12"/>
      <c r="E10" s="12"/>
      <c r="F10" s="122">
        <f t="shared" si="0"/>
        <v>16</v>
      </c>
      <c r="G10" s="123">
        <f t="shared" si="1"/>
        <v>1824.0613866812826</v>
      </c>
      <c r="H10" s="20">
        <f t="shared" si="2"/>
        <v>456.01534667032064</v>
      </c>
      <c r="I10" s="123">
        <f t="shared" si="3"/>
        <v>70.156207180049321</v>
      </c>
      <c r="L10" s="31" t="s">
        <v>108</v>
      </c>
      <c r="M10" s="131"/>
    </row>
    <row r="11" spans="1:32">
      <c r="A11" s="115" t="s">
        <v>17</v>
      </c>
      <c r="B11" s="116">
        <f>SUM(B4:B10)</f>
        <v>16</v>
      </c>
      <c r="C11" s="116">
        <f>SUM(C4:C8)</f>
        <v>5</v>
      </c>
      <c r="D11" s="116">
        <f>SUM(D4:D8)</f>
        <v>4</v>
      </c>
      <c r="E11" s="117">
        <f>SUM(E4:E8)</f>
        <v>5</v>
      </c>
      <c r="F11" s="118">
        <f>SUM(F4:F10)</f>
        <v>125</v>
      </c>
      <c r="G11" s="119">
        <f>(F11*8*26)/1.8245</f>
        <v>14250.479583447519</v>
      </c>
      <c r="H11" s="119">
        <f>SUM(H4:H10)</f>
        <v>3562.6198958618802</v>
      </c>
      <c r="I11" s="119">
        <f>SUM(I4:I8)</f>
        <v>460.4001096190737</v>
      </c>
      <c r="M11" s="129">
        <f>SUM(M4:M8)</f>
        <v>4853.9325842696626</v>
      </c>
    </row>
    <row r="12" spans="1:32" ht="18.600000000000001">
      <c r="A12" s="78"/>
      <c r="B12" s="88"/>
      <c r="C12" s="88"/>
      <c r="D12" s="88"/>
      <c r="E12" s="88"/>
      <c r="F12" s="89"/>
      <c r="G12" s="90">
        <f>SUM(G4:G8)</f>
        <v>11970.402850095918</v>
      </c>
      <c r="H12" s="82"/>
      <c r="I12" s="82"/>
      <c r="J12" s="91"/>
      <c r="K12" s="91"/>
      <c r="L12" s="91"/>
      <c r="M12" s="91"/>
      <c r="N12" s="84"/>
      <c r="O12" s="85"/>
    </row>
    <row r="13" spans="1:32" ht="21">
      <c r="A13" s="77"/>
      <c r="B13" s="192" t="s">
        <v>12</v>
      </c>
      <c r="C13" s="193"/>
      <c r="D13" s="193"/>
      <c r="E13" s="193"/>
      <c r="F13" s="193"/>
      <c r="G13" s="194"/>
      <c r="H13" s="192" t="s">
        <v>20</v>
      </c>
      <c r="I13" s="193"/>
      <c r="J13" s="193"/>
      <c r="K13" s="193"/>
      <c r="L13" s="193"/>
      <c r="M13" s="194"/>
      <c r="N13" s="192" t="s">
        <v>14</v>
      </c>
      <c r="O13" s="193"/>
      <c r="P13" s="193"/>
      <c r="Q13" s="193"/>
      <c r="R13" s="193"/>
      <c r="S13" s="194"/>
      <c r="T13" s="192" t="s">
        <v>15</v>
      </c>
      <c r="U13" s="193"/>
      <c r="V13" s="193"/>
      <c r="W13" s="193"/>
      <c r="X13" s="193"/>
      <c r="Y13" s="194"/>
      <c r="Z13" s="192" t="s">
        <v>16</v>
      </c>
      <c r="AA13" s="193"/>
      <c r="AB13" s="193"/>
      <c r="AC13" s="193"/>
      <c r="AD13" s="193"/>
      <c r="AE13" s="194"/>
      <c r="AF13" s="201" t="s">
        <v>17</v>
      </c>
    </row>
    <row r="14" spans="1:32" ht="21.6" customHeight="1">
      <c r="B14" s="195" t="s">
        <v>2</v>
      </c>
      <c r="C14" s="196"/>
      <c r="D14" s="196"/>
      <c r="E14" s="196"/>
      <c r="F14" s="197" t="s">
        <v>103</v>
      </c>
      <c r="G14" s="199" t="s">
        <v>104</v>
      </c>
      <c r="H14" s="195" t="s">
        <v>2</v>
      </c>
      <c r="I14" s="196"/>
      <c r="J14" s="196"/>
      <c r="K14" s="196"/>
      <c r="L14" s="197" t="s">
        <v>103</v>
      </c>
      <c r="M14" s="199" t="s">
        <v>104</v>
      </c>
      <c r="N14" s="195" t="s">
        <v>2</v>
      </c>
      <c r="O14" s="196"/>
      <c r="P14" s="196"/>
      <c r="Q14" s="196"/>
      <c r="R14" s="197" t="s">
        <v>103</v>
      </c>
      <c r="S14" s="199" t="s">
        <v>104</v>
      </c>
      <c r="T14" s="195" t="s">
        <v>2</v>
      </c>
      <c r="U14" s="196"/>
      <c r="V14" s="196"/>
      <c r="W14" s="196"/>
      <c r="X14" s="197" t="s">
        <v>103</v>
      </c>
      <c r="Y14" s="199" t="s">
        <v>104</v>
      </c>
      <c r="Z14" s="195" t="s">
        <v>2</v>
      </c>
      <c r="AA14" s="196"/>
      <c r="AB14" s="196"/>
      <c r="AC14" s="196"/>
      <c r="AD14" s="197" t="s">
        <v>103</v>
      </c>
      <c r="AE14" s="199" t="s">
        <v>104</v>
      </c>
      <c r="AF14" s="202"/>
    </row>
    <row r="15" spans="1:32" ht="21.6" customHeight="1">
      <c r="A15" s="33" t="s">
        <v>19</v>
      </c>
      <c r="B15" s="73" t="s">
        <v>8</v>
      </c>
      <c r="C15" s="74" t="s">
        <v>9</v>
      </c>
      <c r="D15" s="74" t="s">
        <v>10</v>
      </c>
      <c r="E15" s="75" t="s">
        <v>11</v>
      </c>
      <c r="F15" s="198"/>
      <c r="G15" s="200"/>
      <c r="H15" s="73" t="s">
        <v>8</v>
      </c>
      <c r="I15" s="74" t="s">
        <v>9</v>
      </c>
      <c r="J15" s="74" t="s">
        <v>10</v>
      </c>
      <c r="K15" s="75" t="s">
        <v>11</v>
      </c>
      <c r="L15" s="198"/>
      <c r="M15" s="200"/>
      <c r="N15" s="73" t="s">
        <v>8</v>
      </c>
      <c r="O15" s="74" t="s">
        <v>9</v>
      </c>
      <c r="P15" s="74" t="s">
        <v>10</v>
      </c>
      <c r="Q15" s="75" t="s">
        <v>11</v>
      </c>
      <c r="R15" s="198"/>
      <c r="S15" s="200"/>
      <c r="T15" s="73" t="s">
        <v>8</v>
      </c>
      <c r="U15" s="74" t="s">
        <v>9</v>
      </c>
      <c r="V15" s="74" t="s">
        <v>10</v>
      </c>
      <c r="W15" s="75" t="s">
        <v>11</v>
      </c>
      <c r="X15" s="198"/>
      <c r="Y15" s="200"/>
      <c r="Z15" s="73" t="s">
        <v>8</v>
      </c>
      <c r="AA15" s="74" t="s">
        <v>9</v>
      </c>
      <c r="AB15" s="74" t="s">
        <v>10</v>
      </c>
      <c r="AC15" s="75" t="s">
        <v>11</v>
      </c>
      <c r="AD15" s="198"/>
      <c r="AE15" s="200"/>
      <c r="AF15" s="207"/>
    </row>
    <row r="16" spans="1:32">
      <c r="A16" s="34">
        <v>45870</v>
      </c>
      <c r="B16" s="36"/>
      <c r="C16" s="37"/>
      <c r="D16" s="37"/>
      <c r="E16" s="38"/>
      <c r="F16" s="155">
        <f t="shared" ref="F16:F46" si="4">(B16*4)+(C16*6)+(D16*4)+(E16*3)</f>
        <v>0</v>
      </c>
      <c r="G16" s="156">
        <f t="shared" ref="G16:G45" si="5">(F16*8)/1.8245</f>
        <v>0</v>
      </c>
      <c r="H16" s="149"/>
      <c r="I16" s="37"/>
      <c r="J16" s="37"/>
      <c r="K16" s="38"/>
      <c r="L16" s="155">
        <f t="shared" ref="L16:L46" si="6">(H16*4)+(I16*6)+(J16*4)+(K16*3)</f>
        <v>0</v>
      </c>
      <c r="M16" s="156">
        <f t="shared" ref="M16:M45" si="7">(L16*8)/1.8245</f>
        <v>0</v>
      </c>
      <c r="N16" s="149">
        <v>2</v>
      </c>
      <c r="O16" s="37">
        <v>1</v>
      </c>
      <c r="P16" s="37"/>
      <c r="Q16" s="38">
        <v>1</v>
      </c>
      <c r="R16" s="155">
        <f>(N16*4)+(O16*6)+(P16*4)+(Q16*3)</f>
        <v>17</v>
      </c>
      <c r="S16" s="156">
        <f t="shared" ref="S16:S46" si="8">(R16*8)/1.8245</f>
        <v>74.540970128802414</v>
      </c>
      <c r="T16" s="149">
        <v>2</v>
      </c>
      <c r="U16" s="37">
        <v>1</v>
      </c>
      <c r="V16" s="37"/>
      <c r="W16" s="38">
        <v>1</v>
      </c>
      <c r="X16" s="155">
        <f t="shared" ref="X16:X46" si="9">(T16*4)+(U16*6)+(V16*4)+(W16*3)</f>
        <v>17</v>
      </c>
      <c r="Y16" s="156">
        <f t="shared" ref="Y16:Y46" si="10">(X16*8)/1.8245</f>
        <v>74.540970128802414</v>
      </c>
      <c r="Z16" s="149">
        <v>2</v>
      </c>
      <c r="AA16" s="37">
        <v>1</v>
      </c>
      <c r="AB16" s="37"/>
      <c r="AC16" s="38"/>
      <c r="AD16" s="64">
        <f>(Z16*4)+(AA16*6)+(AB16*4)+(AC16*3)</f>
        <v>14</v>
      </c>
      <c r="AE16" s="65">
        <f t="shared" ref="AE16:AE46" si="11">(AD16*8)/1.8245</f>
        <v>61.386681282543165</v>
      </c>
      <c r="AF16" s="76">
        <f>G16+M16+AE16+S16+Y16</f>
        <v>210.46862154014798</v>
      </c>
    </row>
    <row r="17" spans="1:32">
      <c r="A17" s="34">
        <v>45871</v>
      </c>
      <c r="B17" s="40">
        <v>2</v>
      </c>
      <c r="C17" s="39">
        <v>1</v>
      </c>
      <c r="D17" s="39"/>
      <c r="E17" s="41">
        <v>1</v>
      </c>
      <c r="F17" s="64">
        <f t="shared" si="4"/>
        <v>17</v>
      </c>
      <c r="G17" s="65">
        <f t="shared" si="5"/>
        <v>74.540970128802414</v>
      </c>
      <c r="H17" s="150"/>
      <c r="I17" s="39"/>
      <c r="J17" s="39"/>
      <c r="K17" s="41"/>
      <c r="L17" s="64">
        <f t="shared" si="6"/>
        <v>0</v>
      </c>
      <c r="M17" s="65">
        <f t="shared" si="7"/>
        <v>0</v>
      </c>
      <c r="N17" s="150"/>
      <c r="O17" s="39"/>
      <c r="P17" s="39"/>
      <c r="Q17" s="41"/>
      <c r="R17" s="64">
        <f t="shared" ref="R17:R46" si="12">(N17*4)+(O17*6)+(P17*4)+(Q17*3)</f>
        <v>0</v>
      </c>
      <c r="S17" s="65">
        <f t="shared" si="8"/>
        <v>0</v>
      </c>
      <c r="T17" s="150">
        <v>2</v>
      </c>
      <c r="U17" s="39">
        <v>2</v>
      </c>
      <c r="V17" s="39"/>
      <c r="W17" s="41">
        <v>1</v>
      </c>
      <c r="X17" s="64">
        <f t="shared" si="9"/>
        <v>23</v>
      </c>
      <c r="Y17" s="65">
        <f t="shared" si="10"/>
        <v>100.84954782132091</v>
      </c>
      <c r="Z17" s="150">
        <v>3</v>
      </c>
      <c r="AA17" s="39"/>
      <c r="AB17" s="39"/>
      <c r="AC17" s="41"/>
      <c r="AD17" s="64">
        <f t="shared" ref="AD17:AD46" si="13">(Z17*4)+(AA17*6)+(AB17*4)+(AC17*3)</f>
        <v>12</v>
      </c>
      <c r="AE17" s="65">
        <f t="shared" si="11"/>
        <v>52.617155385036995</v>
      </c>
      <c r="AF17" s="76">
        <f t="shared" ref="AF17:AF45" si="14">G17+M17+AE17+S17+Y17</f>
        <v>228.00767333516032</v>
      </c>
    </row>
    <row r="18" spans="1:32">
      <c r="A18" s="34">
        <v>45872</v>
      </c>
      <c r="B18" s="40"/>
      <c r="C18" s="39"/>
      <c r="D18" s="39"/>
      <c r="E18" s="41"/>
      <c r="F18" s="64">
        <f t="shared" si="4"/>
        <v>0</v>
      </c>
      <c r="G18" s="65">
        <f t="shared" si="5"/>
        <v>0</v>
      </c>
      <c r="H18" s="150"/>
      <c r="I18" s="39"/>
      <c r="J18" s="39"/>
      <c r="K18" s="41"/>
      <c r="L18" s="64">
        <f t="shared" si="6"/>
        <v>0</v>
      </c>
      <c r="M18" s="65">
        <f t="shared" si="7"/>
        <v>0</v>
      </c>
      <c r="N18" s="150"/>
      <c r="O18" s="39"/>
      <c r="P18" s="39"/>
      <c r="Q18" s="41"/>
      <c r="R18" s="64">
        <f t="shared" si="12"/>
        <v>0</v>
      </c>
      <c r="S18" s="65">
        <f t="shared" si="8"/>
        <v>0</v>
      </c>
      <c r="T18" s="150"/>
      <c r="U18" s="39"/>
      <c r="V18" s="39"/>
      <c r="W18" s="41"/>
      <c r="X18" s="64">
        <f t="shared" si="9"/>
        <v>0</v>
      </c>
      <c r="Y18" s="65">
        <f t="shared" si="10"/>
        <v>0</v>
      </c>
      <c r="Z18" s="150">
        <v>2</v>
      </c>
      <c r="AA18" s="39">
        <v>1</v>
      </c>
      <c r="AB18" s="39"/>
      <c r="AC18" s="41">
        <v>1</v>
      </c>
      <c r="AD18" s="64">
        <f t="shared" si="13"/>
        <v>17</v>
      </c>
      <c r="AE18" s="65">
        <f t="shared" si="11"/>
        <v>74.540970128802414</v>
      </c>
      <c r="AF18" s="76">
        <f t="shared" si="14"/>
        <v>74.540970128802414</v>
      </c>
    </row>
    <row r="19" spans="1:32">
      <c r="A19" s="34">
        <v>45873</v>
      </c>
      <c r="B19" s="40"/>
      <c r="C19" s="39"/>
      <c r="D19" s="39"/>
      <c r="E19" s="41"/>
      <c r="F19" s="64">
        <f t="shared" si="4"/>
        <v>0</v>
      </c>
      <c r="G19" s="65">
        <f t="shared" si="5"/>
        <v>0</v>
      </c>
      <c r="H19" s="150"/>
      <c r="I19" s="39"/>
      <c r="J19" s="39"/>
      <c r="K19" s="41"/>
      <c r="L19" s="64">
        <f t="shared" si="6"/>
        <v>0</v>
      </c>
      <c r="M19" s="65">
        <f t="shared" si="7"/>
        <v>0</v>
      </c>
      <c r="N19" s="150">
        <v>1</v>
      </c>
      <c r="O19" s="39">
        <v>1</v>
      </c>
      <c r="P19" s="39"/>
      <c r="Q19" s="41">
        <v>1</v>
      </c>
      <c r="R19" s="64">
        <f t="shared" si="12"/>
        <v>13</v>
      </c>
      <c r="S19" s="65">
        <f t="shared" si="8"/>
        <v>57.00191833379008</v>
      </c>
      <c r="T19" s="150">
        <v>1</v>
      </c>
      <c r="U19" s="39">
        <v>3</v>
      </c>
      <c r="V19" s="39"/>
      <c r="W19" s="41">
        <v>2</v>
      </c>
      <c r="X19" s="64">
        <f t="shared" si="9"/>
        <v>28</v>
      </c>
      <c r="Y19" s="65">
        <f t="shared" si="10"/>
        <v>122.77336256508633</v>
      </c>
      <c r="Z19" s="150"/>
      <c r="AA19" s="39">
        <v>1</v>
      </c>
      <c r="AB19" s="39"/>
      <c r="AC19" s="41"/>
      <c r="AD19" s="64">
        <f t="shared" si="13"/>
        <v>6</v>
      </c>
      <c r="AE19" s="65">
        <f t="shared" si="11"/>
        <v>26.308577692518497</v>
      </c>
      <c r="AF19" s="76">
        <f t="shared" si="14"/>
        <v>206.08385859139491</v>
      </c>
    </row>
    <row r="20" spans="1:32">
      <c r="A20" s="34">
        <v>45874</v>
      </c>
      <c r="B20" s="42"/>
      <c r="C20" s="43"/>
      <c r="D20" s="43"/>
      <c r="E20" s="44"/>
      <c r="F20" s="64">
        <f t="shared" si="4"/>
        <v>0</v>
      </c>
      <c r="G20" s="65">
        <f t="shared" si="5"/>
        <v>0</v>
      </c>
      <c r="H20" s="151">
        <v>2</v>
      </c>
      <c r="I20" s="43"/>
      <c r="J20" s="43"/>
      <c r="K20" s="44"/>
      <c r="L20" s="64">
        <f t="shared" si="6"/>
        <v>8</v>
      </c>
      <c r="M20" s="65">
        <f t="shared" si="7"/>
        <v>35.078103590024661</v>
      </c>
      <c r="N20" s="151">
        <v>1</v>
      </c>
      <c r="O20" s="43"/>
      <c r="P20" s="43"/>
      <c r="Q20" s="44"/>
      <c r="R20" s="64">
        <f t="shared" si="12"/>
        <v>4</v>
      </c>
      <c r="S20" s="65">
        <f t="shared" si="8"/>
        <v>17.53905179501233</v>
      </c>
      <c r="T20" s="151">
        <v>2</v>
      </c>
      <c r="U20" s="43">
        <v>1</v>
      </c>
      <c r="V20" s="43"/>
      <c r="W20" s="44">
        <v>1</v>
      </c>
      <c r="X20" s="64">
        <f t="shared" si="9"/>
        <v>17</v>
      </c>
      <c r="Y20" s="65">
        <f t="shared" si="10"/>
        <v>74.540970128802414</v>
      </c>
      <c r="Z20" s="151">
        <v>2</v>
      </c>
      <c r="AA20" s="43">
        <v>1</v>
      </c>
      <c r="AB20" s="43"/>
      <c r="AC20" s="44">
        <v>1</v>
      </c>
      <c r="AD20" s="64">
        <f t="shared" si="13"/>
        <v>17</v>
      </c>
      <c r="AE20" s="65">
        <f t="shared" si="11"/>
        <v>74.540970128802414</v>
      </c>
      <c r="AF20" s="76">
        <f t="shared" si="14"/>
        <v>201.69909564264182</v>
      </c>
    </row>
    <row r="21" spans="1:32">
      <c r="A21" s="34">
        <v>45875</v>
      </c>
      <c r="B21" s="42"/>
      <c r="C21" s="43"/>
      <c r="D21" s="43"/>
      <c r="E21" s="44"/>
      <c r="F21" s="64">
        <f t="shared" si="4"/>
        <v>0</v>
      </c>
      <c r="G21" s="65">
        <f t="shared" si="5"/>
        <v>0</v>
      </c>
      <c r="H21" s="151">
        <v>2</v>
      </c>
      <c r="I21" s="43"/>
      <c r="J21" s="43"/>
      <c r="K21" s="44"/>
      <c r="L21" s="64">
        <f t="shared" si="6"/>
        <v>8</v>
      </c>
      <c r="M21" s="65">
        <f t="shared" si="7"/>
        <v>35.078103590024661</v>
      </c>
      <c r="N21" s="151">
        <v>2</v>
      </c>
      <c r="O21" s="43"/>
      <c r="P21" s="43"/>
      <c r="Q21" s="44"/>
      <c r="R21" s="64">
        <f t="shared" si="12"/>
        <v>8</v>
      </c>
      <c r="S21" s="65">
        <f t="shared" si="8"/>
        <v>35.078103590024661</v>
      </c>
      <c r="T21" s="151">
        <v>2</v>
      </c>
      <c r="U21" s="43">
        <v>1</v>
      </c>
      <c r="V21" s="43"/>
      <c r="W21" s="44">
        <v>1</v>
      </c>
      <c r="X21" s="64">
        <f t="shared" si="9"/>
        <v>17</v>
      </c>
      <c r="Y21" s="65">
        <f t="shared" si="10"/>
        <v>74.540970128802414</v>
      </c>
      <c r="Z21" s="151">
        <v>2</v>
      </c>
      <c r="AA21" s="43">
        <v>2</v>
      </c>
      <c r="AB21" s="43"/>
      <c r="AC21" s="44"/>
      <c r="AD21" s="64">
        <f t="shared" si="13"/>
        <v>20</v>
      </c>
      <c r="AE21" s="65">
        <f t="shared" si="11"/>
        <v>87.695258975061662</v>
      </c>
      <c r="AF21" s="76">
        <f t="shared" si="14"/>
        <v>232.39243628391341</v>
      </c>
    </row>
    <row r="22" spans="1:32">
      <c r="A22" s="34">
        <v>45876</v>
      </c>
      <c r="B22" s="42">
        <v>2</v>
      </c>
      <c r="C22" s="43">
        <v>1</v>
      </c>
      <c r="D22" s="43"/>
      <c r="E22" s="44"/>
      <c r="F22" s="64">
        <f t="shared" si="4"/>
        <v>14</v>
      </c>
      <c r="G22" s="65">
        <f t="shared" si="5"/>
        <v>61.386681282543165</v>
      </c>
      <c r="H22" s="151">
        <v>2</v>
      </c>
      <c r="I22" s="43"/>
      <c r="J22" s="43"/>
      <c r="K22" s="44"/>
      <c r="L22" s="64">
        <f t="shared" si="6"/>
        <v>8</v>
      </c>
      <c r="M22" s="65">
        <f t="shared" si="7"/>
        <v>35.078103590024661</v>
      </c>
      <c r="N22" s="151">
        <v>2</v>
      </c>
      <c r="O22" s="43">
        <v>1</v>
      </c>
      <c r="P22" s="43"/>
      <c r="Q22" s="44">
        <v>1</v>
      </c>
      <c r="R22" s="64">
        <f t="shared" si="12"/>
        <v>17</v>
      </c>
      <c r="S22" s="65">
        <f t="shared" si="8"/>
        <v>74.540970128802414</v>
      </c>
      <c r="T22" s="151">
        <v>2</v>
      </c>
      <c r="U22" s="43">
        <v>1</v>
      </c>
      <c r="V22" s="43"/>
      <c r="W22" s="44">
        <v>1</v>
      </c>
      <c r="X22" s="64">
        <f t="shared" si="9"/>
        <v>17</v>
      </c>
      <c r="Y22" s="65">
        <f t="shared" si="10"/>
        <v>74.540970128802414</v>
      </c>
      <c r="Z22" s="151"/>
      <c r="AA22" s="43"/>
      <c r="AB22" s="43"/>
      <c r="AC22" s="44"/>
      <c r="AD22" s="64">
        <f t="shared" si="13"/>
        <v>0</v>
      </c>
      <c r="AE22" s="65">
        <f t="shared" si="11"/>
        <v>0</v>
      </c>
      <c r="AF22" s="76">
        <f t="shared" si="14"/>
        <v>245.54672513017266</v>
      </c>
    </row>
    <row r="23" spans="1:32">
      <c r="A23" s="34">
        <v>45877</v>
      </c>
      <c r="B23" s="42"/>
      <c r="C23" s="43"/>
      <c r="D23" s="43"/>
      <c r="E23" s="44"/>
      <c r="F23" s="64">
        <f t="shared" si="4"/>
        <v>0</v>
      </c>
      <c r="G23" s="65">
        <f t="shared" si="5"/>
        <v>0</v>
      </c>
      <c r="H23" s="151">
        <v>2</v>
      </c>
      <c r="I23" s="43"/>
      <c r="J23" s="43"/>
      <c r="K23" s="44"/>
      <c r="L23" s="64">
        <f t="shared" si="6"/>
        <v>8</v>
      </c>
      <c r="M23" s="65">
        <f t="shared" si="7"/>
        <v>35.078103590024661</v>
      </c>
      <c r="N23" s="151"/>
      <c r="O23" s="43">
        <v>3</v>
      </c>
      <c r="P23" s="43"/>
      <c r="Q23" s="44"/>
      <c r="R23" s="64">
        <f t="shared" si="12"/>
        <v>18</v>
      </c>
      <c r="S23" s="65">
        <f t="shared" si="8"/>
        <v>78.925733077555492</v>
      </c>
      <c r="T23" s="151">
        <v>1</v>
      </c>
      <c r="U23" s="43">
        <v>1</v>
      </c>
      <c r="V23" s="43"/>
      <c r="W23" s="44"/>
      <c r="X23" s="64">
        <f t="shared" si="9"/>
        <v>10</v>
      </c>
      <c r="Y23" s="65">
        <f t="shared" si="10"/>
        <v>43.847629487530831</v>
      </c>
      <c r="Z23" s="151">
        <v>2</v>
      </c>
      <c r="AA23" s="43">
        <v>1</v>
      </c>
      <c r="AB23" s="43"/>
      <c r="AC23" s="44"/>
      <c r="AD23" s="64">
        <f t="shared" si="13"/>
        <v>14</v>
      </c>
      <c r="AE23" s="65">
        <f t="shared" si="11"/>
        <v>61.386681282543165</v>
      </c>
      <c r="AF23" s="76">
        <f t="shared" si="14"/>
        <v>219.23814743765416</v>
      </c>
    </row>
    <row r="24" spans="1:32">
      <c r="A24" s="34">
        <v>45878</v>
      </c>
      <c r="B24" s="42">
        <v>4</v>
      </c>
      <c r="C24" s="43">
        <v>3</v>
      </c>
      <c r="D24" s="43"/>
      <c r="E24" s="44">
        <v>1</v>
      </c>
      <c r="F24" s="64">
        <f t="shared" si="4"/>
        <v>37</v>
      </c>
      <c r="G24" s="65">
        <f t="shared" si="5"/>
        <v>162.23622910386408</v>
      </c>
      <c r="H24" s="151"/>
      <c r="I24" s="43"/>
      <c r="J24" s="43"/>
      <c r="K24" s="44"/>
      <c r="L24" s="64">
        <f t="shared" si="6"/>
        <v>0</v>
      </c>
      <c r="M24" s="65">
        <f t="shared" si="7"/>
        <v>0</v>
      </c>
      <c r="N24" s="151">
        <v>2</v>
      </c>
      <c r="O24" s="43">
        <v>1</v>
      </c>
      <c r="P24" s="43"/>
      <c r="Q24" s="44">
        <v>1</v>
      </c>
      <c r="R24" s="64">
        <f t="shared" si="12"/>
        <v>17</v>
      </c>
      <c r="S24" s="65">
        <f t="shared" si="8"/>
        <v>74.540970128802414</v>
      </c>
      <c r="T24" s="151">
        <v>1</v>
      </c>
      <c r="U24" s="43">
        <v>1</v>
      </c>
      <c r="V24" s="43"/>
      <c r="W24" s="44">
        <v>1</v>
      </c>
      <c r="X24" s="64">
        <f t="shared" si="9"/>
        <v>13</v>
      </c>
      <c r="Y24" s="65">
        <f t="shared" si="10"/>
        <v>57.00191833379008</v>
      </c>
      <c r="Z24" s="151">
        <v>2</v>
      </c>
      <c r="AA24" s="43">
        <v>2</v>
      </c>
      <c r="AB24" s="43"/>
      <c r="AC24" s="44"/>
      <c r="AD24" s="64">
        <f t="shared" si="13"/>
        <v>20</v>
      </c>
      <c r="AE24" s="65">
        <f t="shared" si="11"/>
        <v>87.695258975061662</v>
      </c>
      <c r="AF24" s="76">
        <f t="shared" si="14"/>
        <v>381.47437654151821</v>
      </c>
    </row>
    <row r="25" spans="1:32">
      <c r="A25" s="34">
        <v>45879</v>
      </c>
      <c r="B25" s="40"/>
      <c r="C25" s="39"/>
      <c r="D25" s="39"/>
      <c r="E25" s="41"/>
      <c r="F25" s="64">
        <f t="shared" si="4"/>
        <v>0</v>
      </c>
      <c r="G25" s="65">
        <f t="shared" si="5"/>
        <v>0</v>
      </c>
      <c r="H25" s="150"/>
      <c r="I25" s="39"/>
      <c r="J25" s="39"/>
      <c r="K25" s="41"/>
      <c r="L25" s="64">
        <f t="shared" si="6"/>
        <v>0</v>
      </c>
      <c r="M25" s="65">
        <f t="shared" si="7"/>
        <v>0</v>
      </c>
      <c r="N25" s="150"/>
      <c r="O25" s="39"/>
      <c r="P25" s="39"/>
      <c r="Q25" s="41"/>
      <c r="R25" s="64">
        <f t="shared" si="12"/>
        <v>0</v>
      </c>
      <c r="S25" s="65">
        <f t="shared" si="8"/>
        <v>0</v>
      </c>
      <c r="T25" s="150"/>
      <c r="U25" s="39"/>
      <c r="V25" s="39"/>
      <c r="W25" s="41"/>
      <c r="X25" s="64">
        <f t="shared" si="9"/>
        <v>0</v>
      </c>
      <c r="Y25" s="65">
        <f t="shared" si="10"/>
        <v>0</v>
      </c>
      <c r="Z25" s="150"/>
      <c r="AA25" s="39"/>
      <c r="AB25" s="39"/>
      <c r="AC25" s="41"/>
      <c r="AD25" s="64">
        <f t="shared" si="13"/>
        <v>0</v>
      </c>
      <c r="AE25" s="65">
        <f t="shared" si="11"/>
        <v>0</v>
      </c>
      <c r="AF25" s="76">
        <f t="shared" si="14"/>
        <v>0</v>
      </c>
    </row>
    <row r="26" spans="1:32">
      <c r="A26" s="34">
        <v>45880</v>
      </c>
      <c r="B26" s="40">
        <v>1</v>
      </c>
      <c r="C26" s="39"/>
      <c r="D26" s="39"/>
      <c r="E26" s="41"/>
      <c r="F26" s="64">
        <f t="shared" si="4"/>
        <v>4</v>
      </c>
      <c r="G26" s="65">
        <f t="shared" si="5"/>
        <v>17.53905179501233</v>
      </c>
      <c r="H26" s="150"/>
      <c r="I26" s="39"/>
      <c r="J26" s="39"/>
      <c r="K26" s="41"/>
      <c r="L26" s="64">
        <f t="shared" si="6"/>
        <v>0</v>
      </c>
      <c r="M26" s="65">
        <f t="shared" si="7"/>
        <v>0</v>
      </c>
      <c r="N26" s="150">
        <v>1</v>
      </c>
      <c r="O26" s="39"/>
      <c r="P26" s="39"/>
      <c r="Q26" s="41">
        <v>1</v>
      </c>
      <c r="R26" s="64">
        <f t="shared" si="12"/>
        <v>7</v>
      </c>
      <c r="S26" s="65">
        <f t="shared" si="8"/>
        <v>30.693340641271583</v>
      </c>
      <c r="T26" s="150">
        <v>3</v>
      </c>
      <c r="U26" s="39">
        <v>1</v>
      </c>
      <c r="V26" s="39"/>
      <c r="W26" s="41">
        <v>1</v>
      </c>
      <c r="X26" s="64">
        <f t="shared" si="9"/>
        <v>21</v>
      </c>
      <c r="Y26" s="65">
        <f t="shared" si="10"/>
        <v>92.080021923814741</v>
      </c>
      <c r="Z26" s="150"/>
      <c r="AA26" s="39">
        <v>1</v>
      </c>
      <c r="AB26" s="39"/>
      <c r="AC26" s="41"/>
      <c r="AD26" s="64">
        <f t="shared" si="13"/>
        <v>6</v>
      </c>
      <c r="AE26" s="65">
        <f t="shared" si="11"/>
        <v>26.308577692518497</v>
      </c>
      <c r="AF26" s="76">
        <f t="shared" si="14"/>
        <v>166.62099205261714</v>
      </c>
    </row>
    <row r="27" spans="1:32">
      <c r="A27" s="34">
        <v>45881</v>
      </c>
      <c r="B27" s="40">
        <v>2</v>
      </c>
      <c r="C27" s="39">
        <v>2</v>
      </c>
      <c r="D27" s="39"/>
      <c r="E27" s="41"/>
      <c r="F27" s="64">
        <f t="shared" si="4"/>
        <v>20</v>
      </c>
      <c r="G27" s="65">
        <f t="shared" si="5"/>
        <v>87.695258975061662</v>
      </c>
      <c r="H27" s="150">
        <v>2</v>
      </c>
      <c r="I27" s="39"/>
      <c r="J27" s="39">
        <v>1</v>
      </c>
      <c r="K27" s="41"/>
      <c r="L27" s="64">
        <f t="shared" si="6"/>
        <v>12</v>
      </c>
      <c r="M27" s="65">
        <f t="shared" si="7"/>
        <v>52.617155385036995</v>
      </c>
      <c r="N27" s="150">
        <v>1</v>
      </c>
      <c r="O27" s="39">
        <v>1</v>
      </c>
      <c r="P27" s="39"/>
      <c r="Q27" s="41">
        <v>1</v>
      </c>
      <c r="R27" s="64">
        <f t="shared" si="12"/>
        <v>13</v>
      </c>
      <c r="S27" s="65">
        <f t="shared" si="8"/>
        <v>57.00191833379008</v>
      </c>
      <c r="T27" s="150">
        <v>1</v>
      </c>
      <c r="U27" s="39">
        <v>1</v>
      </c>
      <c r="V27" s="39"/>
      <c r="W27" s="41"/>
      <c r="X27" s="64">
        <f t="shared" si="9"/>
        <v>10</v>
      </c>
      <c r="Y27" s="65">
        <f t="shared" si="10"/>
        <v>43.847629487530831</v>
      </c>
      <c r="Z27" s="150">
        <v>2</v>
      </c>
      <c r="AA27" s="39">
        <v>1</v>
      </c>
      <c r="AB27" s="39"/>
      <c r="AC27" s="41"/>
      <c r="AD27" s="64">
        <f t="shared" si="13"/>
        <v>14</v>
      </c>
      <c r="AE27" s="65">
        <f t="shared" si="11"/>
        <v>61.386681282543165</v>
      </c>
      <c r="AF27" s="76">
        <f t="shared" si="14"/>
        <v>302.54864346396272</v>
      </c>
    </row>
    <row r="28" spans="1:32">
      <c r="A28" s="34">
        <v>45882</v>
      </c>
      <c r="B28" s="40"/>
      <c r="C28" s="39">
        <v>1</v>
      </c>
      <c r="D28" s="39"/>
      <c r="E28" s="41"/>
      <c r="F28" s="64">
        <f t="shared" si="4"/>
        <v>6</v>
      </c>
      <c r="G28" s="65">
        <f t="shared" si="5"/>
        <v>26.308577692518497</v>
      </c>
      <c r="H28" s="150">
        <v>2</v>
      </c>
      <c r="I28" s="39"/>
      <c r="J28" s="39">
        <v>1</v>
      </c>
      <c r="K28" s="41"/>
      <c r="L28" s="64">
        <f t="shared" si="6"/>
        <v>12</v>
      </c>
      <c r="M28" s="65">
        <f t="shared" si="7"/>
        <v>52.617155385036995</v>
      </c>
      <c r="N28" s="150">
        <v>1</v>
      </c>
      <c r="O28" s="39">
        <v>1</v>
      </c>
      <c r="P28" s="39"/>
      <c r="Q28" s="41">
        <v>1</v>
      </c>
      <c r="R28" s="64">
        <f t="shared" si="12"/>
        <v>13</v>
      </c>
      <c r="S28" s="65">
        <f t="shared" si="8"/>
        <v>57.00191833379008</v>
      </c>
      <c r="T28" s="150">
        <v>2</v>
      </c>
      <c r="U28" s="39">
        <v>2</v>
      </c>
      <c r="V28" s="39"/>
      <c r="W28" s="41">
        <v>1</v>
      </c>
      <c r="X28" s="64">
        <f t="shared" si="9"/>
        <v>23</v>
      </c>
      <c r="Y28" s="65">
        <f t="shared" si="10"/>
        <v>100.84954782132091</v>
      </c>
      <c r="Z28" s="150">
        <v>2</v>
      </c>
      <c r="AA28" s="39"/>
      <c r="AB28" s="39"/>
      <c r="AC28" s="41"/>
      <c r="AD28" s="64">
        <f t="shared" si="13"/>
        <v>8</v>
      </c>
      <c r="AE28" s="65">
        <f t="shared" si="11"/>
        <v>35.078103590024661</v>
      </c>
      <c r="AF28" s="76">
        <f t="shared" si="14"/>
        <v>271.85530282269116</v>
      </c>
    </row>
    <row r="29" spans="1:32">
      <c r="A29" s="34">
        <v>45883</v>
      </c>
      <c r="B29" s="40">
        <v>2</v>
      </c>
      <c r="C29" s="39">
        <v>3</v>
      </c>
      <c r="D29" s="39"/>
      <c r="E29" s="41">
        <v>1</v>
      </c>
      <c r="F29" s="64">
        <f t="shared" si="4"/>
        <v>29</v>
      </c>
      <c r="G29" s="65">
        <f t="shared" si="5"/>
        <v>127.15812551383941</v>
      </c>
      <c r="H29" s="150">
        <v>1</v>
      </c>
      <c r="I29" s="39"/>
      <c r="J29" s="39">
        <v>1</v>
      </c>
      <c r="K29" s="41"/>
      <c r="L29" s="64">
        <f t="shared" si="6"/>
        <v>8</v>
      </c>
      <c r="M29" s="65">
        <f t="shared" si="7"/>
        <v>35.078103590024661</v>
      </c>
      <c r="N29" s="150">
        <v>2</v>
      </c>
      <c r="O29" s="39">
        <v>1</v>
      </c>
      <c r="P29" s="39"/>
      <c r="Q29" s="41">
        <v>1</v>
      </c>
      <c r="R29" s="64">
        <f t="shared" si="12"/>
        <v>17</v>
      </c>
      <c r="S29" s="65">
        <f t="shared" si="8"/>
        <v>74.540970128802414</v>
      </c>
      <c r="T29" s="150"/>
      <c r="U29" s="39">
        <v>1</v>
      </c>
      <c r="V29" s="39"/>
      <c r="W29" s="41"/>
      <c r="X29" s="64">
        <f t="shared" si="9"/>
        <v>6</v>
      </c>
      <c r="Y29" s="65">
        <f t="shared" si="10"/>
        <v>26.308577692518497</v>
      </c>
      <c r="Z29" s="150">
        <v>6</v>
      </c>
      <c r="AA29" s="39"/>
      <c r="AB29" s="39">
        <v>1</v>
      </c>
      <c r="AC29" s="41"/>
      <c r="AD29" s="64">
        <f t="shared" si="13"/>
        <v>28</v>
      </c>
      <c r="AE29" s="65">
        <f t="shared" si="11"/>
        <v>122.77336256508633</v>
      </c>
      <c r="AF29" s="76">
        <f t="shared" si="14"/>
        <v>385.85913949027133</v>
      </c>
    </row>
    <row r="30" spans="1:32">
      <c r="A30" s="34">
        <v>45884</v>
      </c>
      <c r="B30" s="40">
        <v>1</v>
      </c>
      <c r="C30" s="39">
        <v>2</v>
      </c>
      <c r="D30" s="39"/>
      <c r="E30" s="41">
        <v>1</v>
      </c>
      <c r="F30" s="64">
        <f t="shared" si="4"/>
        <v>19</v>
      </c>
      <c r="G30" s="65">
        <f t="shared" si="5"/>
        <v>83.310496026308584</v>
      </c>
      <c r="H30" s="150">
        <v>2</v>
      </c>
      <c r="I30" s="39"/>
      <c r="J30" s="39"/>
      <c r="K30" s="41"/>
      <c r="L30" s="64">
        <f t="shared" si="6"/>
        <v>8</v>
      </c>
      <c r="M30" s="65">
        <f t="shared" si="7"/>
        <v>35.078103590024661</v>
      </c>
      <c r="N30" s="150">
        <v>2</v>
      </c>
      <c r="O30" s="39">
        <v>1</v>
      </c>
      <c r="P30" s="39"/>
      <c r="Q30" s="41"/>
      <c r="R30" s="64">
        <f t="shared" si="12"/>
        <v>14</v>
      </c>
      <c r="S30" s="65">
        <f t="shared" si="8"/>
        <v>61.386681282543165</v>
      </c>
      <c r="T30" s="150">
        <v>2</v>
      </c>
      <c r="U30" s="39"/>
      <c r="V30" s="39"/>
      <c r="W30" s="41"/>
      <c r="X30" s="64">
        <f t="shared" si="9"/>
        <v>8</v>
      </c>
      <c r="Y30" s="65">
        <f t="shared" si="10"/>
        <v>35.078103590024661</v>
      </c>
      <c r="Z30" s="150">
        <v>1</v>
      </c>
      <c r="AA30" s="39">
        <v>1</v>
      </c>
      <c r="AB30" s="39"/>
      <c r="AC30" s="41"/>
      <c r="AD30" s="64">
        <f t="shared" si="13"/>
        <v>10</v>
      </c>
      <c r="AE30" s="65">
        <f t="shared" si="11"/>
        <v>43.847629487530831</v>
      </c>
      <c r="AF30" s="76">
        <f t="shared" si="14"/>
        <v>258.70101397643191</v>
      </c>
    </row>
    <row r="31" spans="1:32">
      <c r="A31" s="34">
        <v>45885</v>
      </c>
      <c r="B31" s="40">
        <v>6</v>
      </c>
      <c r="C31" s="39">
        <v>5</v>
      </c>
      <c r="D31" s="39"/>
      <c r="E31" s="41"/>
      <c r="F31" s="64">
        <f t="shared" si="4"/>
        <v>54</v>
      </c>
      <c r="G31" s="65">
        <f t="shared" si="5"/>
        <v>236.77719923266648</v>
      </c>
      <c r="H31" s="150">
        <v>2</v>
      </c>
      <c r="I31" s="39"/>
      <c r="J31" s="39"/>
      <c r="K31" s="41"/>
      <c r="L31" s="64">
        <f t="shared" si="6"/>
        <v>8</v>
      </c>
      <c r="M31" s="65">
        <f t="shared" si="7"/>
        <v>35.078103590024661</v>
      </c>
      <c r="N31" s="150"/>
      <c r="O31" s="39"/>
      <c r="P31" s="39"/>
      <c r="Q31" s="41"/>
      <c r="R31" s="64">
        <f t="shared" si="12"/>
        <v>0</v>
      </c>
      <c r="S31" s="65">
        <f t="shared" si="8"/>
        <v>0</v>
      </c>
      <c r="T31" s="150">
        <v>4</v>
      </c>
      <c r="U31" s="39">
        <v>1</v>
      </c>
      <c r="V31" s="39"/>
      <c r="W31" s="41">
        <v>1</v>
      </c>
      <c r="X31" s="64">
        <f t="shared" si="9"/>
        <v>25</v>
      </c>
      <c r="Y31" s="65">
        <f t="shared" si="10"/>
        <v>109.61907371882708</v>
      </c>
      <c r="Z31" s="150">
        <v>2</v>
      </c>
      <c r="AA31" s="39">
        <v>1</v>
      </c>
      <c r="AB31" s="39"/>
      <c r="AC31" s="41"/>
      <c r="AD31" s="64">
        <f t="shared" si="13"/>
        <v>14</v>
      </c>
      <c r="AE31" s="65">
        <f t="shared" si="11"/>
        <v>61.386681282543165</v>
      </c>
      <c r="AF31" s="76">
        <f t="shared" si="14"/>
        <v>442.86105782406139</v>
      </c>
    </row>
    <row r="32" spans="1:32">
      <c r="A32" s="34">
        <v>45886</v>
      </c>
      <c r="B32" s="40"/>
      <c r="C32" s="39"/>
      <c r="D32" s="39"/>
      <c r="E32" s="41"/>
      <c r="F32" s="64">
        <f t="shared" si="4"/>
        <v>0</v>
      </c>
      <c r="G32" s="65">
        <f t="shared" si="5"/>
        <v>0</v>
      </c>
      <c r="H32" s="150"/>
      <c r="I32" s="39"/>
      <c r="J32" s="39"/>
      <c r="K32" s="41"/>
      <c r="L32" s="64">
        <f t="shared" si="6"/>
        <v>0</v>
      </c>
      <c r="M32" s="65">
        <f t="shared" si="7"/>
        <v>0</v>
      </c>
      <c r="N32" s="150"/>
      <c r="O32" s="39"/>
      <c r="P32" s="39"/>
      <c r="Q32" s="41"/>
      <c r="R32" s="64">
        <f t="shared" si="12"/>
        <v>0</v>
      </c>
      <c r="S32" s="65">
        <f t="shared" si="8"/>
        <v>0</v>
      </c>
      <c r="T32" s="150"/>
      <c r="U32" s="39"/>
      <c r="V32" s="39"/>
      <c r="W32" s="41"/>
      <c r="X32" s="64">
        <f t="shared" si="9"/>
        <v>0</v>
      </c>
      <c r="Y32" s="65">
        <f t="shared" si="10"/>
        <v>0</v>
      </c>
      <c r="Z32" s="150"/>
      <c r="AA32" s="39"/>
      <c r="AB32" s="39"/>
      <c r="AC32" s="41"/>
      <c r="AD32" s="64">
        <f t="shared" si="13"/>
        <v>0</v>
      </c>
      <c r="AE32" s="65">
        <f t="shared" si="11"/>
        <v>0</v>
      </c>
      <c r="AF32" s="76">
        <f t="shared" si="14"/>
        <v>0</v>
      </c>
    </row>
    <row r="33" spans="1:32">
      <c r="A33" s="34">
        <v>45887</v>
      </c>
      <c r="B33" s="40">
        <v>2</v>
      </c>
      <c r="C33" s="39">
        <v>2</v>
      </c>
      <c r="D33" s="39"/>
      <c r="E33" s="41">
        <v>1</v>
      </c>
      <c r="F33" s="64">
        <f t="shared" si="4"/>
        <v>23</v>
      </c>
      <c r="G33" s="65">
        <f t="shared" si="5"/>
        <v>100.84954782132091</v>
      </c>
      <c r="H33" s="150">
        <v>2</v>
      </c>
      <c r="I33" s="39">
        <v>1</v>
      </c>
      <c r="J33" s="39"/>
      <c r="K33" s="41"/>
      <c r="L33" s="64">
        <f t="shared" si="6"/>
        <v>14</v>
      </c>
      <c r="M33" s="65">
        <f t="shared" si="7"/>
        <v>61.386681282543165</v>
      </c>
      <c r="N33" s="150">
        <v>4</v>
      </c>
      <c r="O33" s="39"/>
      <c r="P33" s="39"/>
      <c r="Q33" s="41"/>
      <c r="R33" s="64">
        <f t="shared" si="12"/>
        <v>16</v>
      </c>
      <c r="S33" s="65">
        <f t="shared" si="8"/>
        <v>70.156207180049321</v>
      </c>
      <c r="T33" s="150">
        <v>2</v>
      </c>
      <c r="U33" s="39">
        <v>2</v>
      </c>
      <c r="V33" s="39"/>
      <c r="W33" s="41"/>
      <c r="X33" s="64">
        <f t="shared" si="9"/>
        <v>20</v>
      </c>
      <c r="Y33" s="65">
        <f t="shared" si="10"/>
        <v>87.695258975061662</v>
      </c>
      <c r="Z33" s="150"/>
      <c r="AA33" s="39"/>
      <c r="AB33" s="39"/>
      <c r="AC33" s="41"/>
      <c r="AD33" s="64">
        <f t="shared" si="13"/>
        <v>0</v>
      </c>
      <c r="AE33" s="65">
        <f t="shared" si="11"/>
        <v>0</v>
      </c>
      <c r="AF33" s="76">
        <f t="shared" si="14"/>
        <v>320.08769525897509</v>
      </c>
    </row>
    <row r="34" spans="1:32">
      <c r="A34" s="34">
        <v>45888</v>
      </c>
      <c r="B34" s="40">
        <v>2</v>
      </c>
      <c r="C34" s="39">
        <v>3</v>
      </c>
      <c r="D34" s="39"/>
      <c r="E34" s="41">
        <v>1</v>
      </c>
      <c r="F34" s="64">
        <f t="shared" si="4"/>
        <v>29</v>
      </c>
      <c r="G34" s="65">
        <f t="shared" si="5"/>
        <v>127.15812551383941</v>
      </c>
      <c r="H34" s="150">
        <v>2</v>
      </c>
      <c r="I34" s="39"/>
      <c r="J34" s="39"/>
      <c r="K34" s="41"/>
      <c r="L34" s="64">
        <f t="shared" si="6"/>
        <v>8</v>
      </c>
      <c r="M34" s="65">
        <f t="shared" si="7"/>
        <v>35.078103590024661</v>
      </c>
      <c r="N34" s="150"/>
      <c r="O34" s="39"/>
      <c r="P34" s="39"/>
      <c r="Q34" s="41"/>
      <c r="R34" s="64">
        <f t="shared" si="12"/>
        <v>0</v>
      </c>
      <c r="S34" s="65">
        <f t="shared" si="8"/>
        <v>0</v>
      </c>
      <c r="T34" s="150">
        <v>3</v>
      </c>
      <c r="U34" s="39">
        <v>1</v>
      </c>
      <c r="V34" s="39"/>
      <c r="W34" s="41"/>
      <c r="X34" s="64">
        <f t="shared" si="9"/>
        <v>18</v>
      </c>
      <c r="Y34" s="65">
        <f t="shared" si="10"/>
        <v>78.925733077555492</v>
      </c>
      <c r="Z34" s="150">
        <v>2</v>
      </c>
      <c r="AA34" s="39">
        <v>1</v>
      </c>
      <c r="AB34" s="39"/>
      <c r="AC34" s="41"/>
      <c r="AD34" s="64">
        <f t="shared" si="13"/>
        <v>14</v>
      </c>
      <c r="AE34" s="65">
        <f t="shared" si="11"/>
        <v>61.386681282543165</v>
      </c>
      <c r="AF34" s="76">
        <f t="shared" si="14"/>
        <v>302.54864346396272</v>
      </c>
    </row>
    <row r="35" spans="1:32">
      <c r="A35" s="34">
        <v>45889</v>
      </c>
      <c r="B35" s="40">
        <v>4</v>
      </c>
      <c r="C35" s="39">
        <v>4</v>
      </c>
      <c r="D35" s="39"/>
      <c r="E35" s="41">
        <v>1</v>
      </c>
      <c r="F35" s="64">
        <f t="shared" si="4"/>
        <v>43</v>
      </c>
      <c r="G35" s="65">
        <f t="shared" si="5"/>
        <v>188.54480679638257</v>
      </c>
      <c r="H35" s="150">
        <v>2</v>
      </c>
      <c r="I35" s="39"/>
      <c r="J35" s="39">
        <v>1</v>
      </c>
      <c r="K35" s="41">
        <v>1</v>
      </c>
      <c r="L35" s="64">
        <f t="shared" si="6"/>
        <v>15</v>
      </c>
      <c r="M35" s="65">
        <f t="shared" si="7"/>
        <v>65.771444231296243</v>
      </c>
      <c r="N35" s="150">
        <v>1</v>
      </c>
      <c r="O35" s="39">
        <v>1</v>
      </c>
      <c r="P35" s="39"/>
      <c r="Q35" s="41"/>
      <c r="R35" s="64">
        <f t="shared" si="12"/>
        <v>10</v>
      </c>
      <c r="S35" s="65">
        <f t="shared" si="8"/>
        <v>43.847629487530831</v>
      </c>
      <c r="T35" s="150">
        <v>2</v>
      </c>
      <c r="U35" s="39">
        <v>1</v>
      </c>
      <c r="V35" s="39"/>
      <c r="W35" s="41"/>
      <c r="X35" s="64">
        <f t="shared" si="9"/>
        <v>14</v>
      </c>
      <c r="Y35" s="65">
        <f t="shared" si="10"/>
        <v>61.386681282543165</v>
      </c>
      <c r="Z35" s="150">
        <v>1</v>
      </c>
      <c r="AA35" s="39">
        <v>1</v>
      </c>
      <c r="AB35" s="39"/>
      <c r="AC35" s="41"/>
      <c r="AD35" s="64">
        <f t="shared" si="13"/>
        <v>10</v>
      </c>
      <c r="AE35" s="65">
        <f t="shared" si="11"/>
        <v>43.847629487530831</v>
      </c>
      <c r="AF35" s="76">
        <f t="shared" si="14"/>
        <v>403.39819128528364</v>
      </c>
    </row>
    <row r="36" spans="1:32">
      <c r="A36" s="34">
        <v>45890</v>
      </c>
      <c r="B36" s="40"/>
      <c r="C36" s="39"/>
      <c r="D36" s="39"/>
      <c r="E36" s="41"/>
      <c r="F36" s="64">
        <f t="shared" si="4"/>
        <v>0</v>
      </c>
      <c r="G36" s="65">
        <f t="shared" si="5"/>
        <v>0</v>
      </c>
      <c r="H36" s="150"/>
      <c r="I36" s="39"/>
      <c r="J36" s="39"/>
      <c r="K36" s="41"/>
      <c r="L36" s="64">
        <f t="shared" si="6"/>
        <v>0</v>
      </c>
      <c r="M36" s="65">
        <f t="shared" si="7"/>
        <v>0</v>
      </c>
      <c r="N36" s="150"/>
      <c r="O36" s="39"/>
      <c r="P36" s="39"/>
      <c r="Q36" s="41"/>
      <c r="R36" s="64">
        <f t="shared" si="12"/>
        <v>0</v>
      </c>
      <c r="S36" s="65">
        <f t="shared" si="8"/>
        <v>0</v>
      </c>
      <c r="T36" s="150"/>
      <c r="U36" s="39"/>
      <c r="V36" s="39"/>
      <c r="W36" s="41"/>
      <c r="X36" s="64">
        <f t="shared" si="9"/>
        <v>0</v>
      </c>
      <c r="Y36" s="65">
        <f t="shared" si="10"/>
        <v>0</v>
      </c>
      <c r="Z36" s="150"/>
      <c r="AA36" s="39"/>
      <c r="AB36" s="39"/>
      <c r="AC36" s="41"/>
      <c r="AD36" s="64">
        <f t="shared" si="13"/>
        <v>0</v>
      </c>
      <c r="AE36" s="65">
        <f t="shared" si="11"/>
        <v>0</v>
      </c>
      <c r="AF36" s="76">
        <f t="shared" si="14"/>
        <v>0</v>
      </c>
    </row>
    <row r="37" spans="1:32">
      <c r="A37" s="34">
        <v>45891</v>
      </c>
      <c r="B37" s="40"/>
      <c r="C37" s="39"/>
      <c r="D37" s="39"/>
      <c r="E37" s="41"/>
      <c r="F37" s="64">
        <f t="shared" si="4"/>
        <v>0</v>
      </c>
      <c r="G37" s="65">
        <f t="shared" si="5"/>
        <v>0</v>
      </c>
      <c r="H37" s="150"/>
      <c r="I37" s="39"/>
      <c r="J37" s="39"/>
      <c r="K37" s="41"/>
      <c r="L37" s="64">
        <f t="shared" si="6"/>
        <v>0</v>
      </c>
      <c r="M37" s="65">
        <f t="shared" si="7"/>
        <v>0</v>
      </c>
      <c r="N37" s="150"/>
      <c r="O37" s="39"/>
      <c r="P37" s="39"/>
      <c r="Q37" s="41"/>
      <c r="R37" s="64">
        <f t="shared" si="12"/>
        <v>0</v>
      </c>
      <c r="S37" s="65">
        <f t="shared" si="8"/>
        <v>0</v>
      </c>
      <c r="T37" s="150"/>
      <c r="U37" s="39"/>
      <c r="V37" s="39"/>
      <c r="W37" s="41"/>
      <c r="X37" s="64">
        <f t="shared" si="9"/>
        <v>0</v>
      </c>
      <c r="Y37" s="65">
        <f t="shared" si="10"/>
        <v>0</v>
      </c>
      <c r="Z37" s="150"/>
      <c r="AA37" s="39"/>
      <c r="AB37" s="39"/>
      <c r="AC37" s="41"/>
      <c r="AD37" s="64">
        <f t="shared" si="13"/>
        <v>0</v>
      </c>
      <c r="AE37" s="65">
        <f t="shared" si="11"/>
        <v>0</v>
      </c>
      <c r="AF37" s="76">
        <f t="shared" si="14"/>
        <v>0</v>
      </c>
    </row>
    <row r="38" spans="1:32">
      <c r="A38" s="34">
        <v>45892</v>
      </c>
      <c r="B38" s="40"/>
      <c r="C38" s="39"/>
      <c r="D38" s="39"/>
      <c r="E38" s="41"/>
      <c r="F38" s="64">
        <f t="shared" si="4"/>
        <v>0</v>
      </c>
      <c r="G38" s="65">
        <f t="shared" si="5"/>
        <v>0</v>
      </c>
      <c r="H38" s="150"/>
      <c r="I38" s="39"/>
      <c r="J38" s="39"/>
      <c r="K38" s="41"/>
      <c r="L38" s="64">
        <f t="shared" si="6"/>
        <v>0</v>
      </c>
      <c r="M38" s="65">
        <f t="shared" si="7"/>
        <v>0</v>
      </c>
      <c r="N38" s="150"/>
      <c r="O38" s="39"/>
      <c r="P38" s="39"/>
      <c r="Q38" s="41"/>
      <c r="R38" s="64">
        <f t="shared" si="12"/>
        <v>0</v>
      </c>
      <c r="S38" s="65">
        <f t="shared" si="8"/>
        <v>0</v>
      </c>
      <c r="T38" s="150"/>
      <c r="U38" s="39"/>
      <c r="V38" s="39"/>
      <c r="W38" s="41"/>
      <c r="X38" s="64">
        <f t="shared" si="9"/>
        <v>0</v>
      </c>
      <c r="Y38" s="65">
        <f t="shared" si="10"/>
        <v>0</v>
      </c>
      <c r="Z38" s="150"/>
      <c r="AA38" s="39"/>
      <c r="AB38" s="39"/>
      <c r="AC38" s="41"/>
      <c r="AD38" s="64">
        <f t="shared" si="13"/>
        <v>0</v>
      </c>
      <c r="AE38" s="65">
        <f t="shared" si="11"/>
        <v>0</v>
      </c>
      <c r="AF38" s="76">
        <f t="shared" si="14"/>
        <v>0</v>
      </c>
    </row>
    <row r="39" spans="1:32">
      <c r="A39" s="34">
        <v>45893</v>
      </c>
      <c r="B39" s="40"/>
      <c r="C39" s="39"/>
      <c r="D39" s="39"/>
      <c r="E39" s="41"/>
      <c r="F39" s="64">
        <f t="shared" si="4"/>
        <v>0</v>
      </c>
      <c r="G39" s="65">
        <f t="shared" si="5"/>
        <v>0</v>
      </c>
      <c r="H39" s="150"/>
      <c r="I39" s="39"/>
      <c r="J39" s="39"/>
      <c r="K39" s="41"/>
      <c r="L39" s="64">
        <f t="shared" si="6"/>
        <v>0</v>
      </c>
      <c r="M39" s="65">
        <f t="shared" si="7"/>
        <v>0</v>
      </c>
      <c r="N39" s="150"/>
      <c r="O39" s="39"/>
      <c r="P39" s="39"/>
      <c r="Q39" s="41"/>
      <c r="R39" s="64">
        <f t="shared" si="12"/>
        <v>0</v>
      </c>
      <c r="S39" s="65">
        <f t="shared" si="8"/>
        <v>0</v>
      </c>
      <c r="T39" s="150"/>
      <c r="U39" s="39"/>
      <c r="V39" s="39"/>
      <c r="W39" s="41"/>
      <c r="X39" s="64">
        <f t="shared" si="9"/>
        <v>0</v>
      </c>
      <c r="Y39" s="65">
        <f t="shared" si="10"/>
        <v>0</v>
      </c>
      <c r="Z39" s="150"/>
      <c r="AA39" s="39"/>
      <c r="AB39" s="39"/>
      <c r="AC39" s="41"/>
      <c r="AD39" s="64">
        <f t="shared" si="13"/>
        <v>0</v>
      </c>
      <c r="AE39" s="65">
        <f t="shared" si="11"/>
        <v>0</v>
      </c>
      <c r="AF39" s="76">
        <f t="shared" si="14"/>
        <v>0</v>
      </c>
    </row>
    <row r="40" spans="1:32">
      <c r="A40" s="34">
        <v>45894</v>
      </c>
      <c r="B40" s="40"/>
      <c r="C40" s="39"/>
      <c r="D40" s="39"/>
      <c r="E40" s="41"/>
      <c r="F40" s="64">
        <f t="shared" si="4"/>
        <v>0</v>
      </c>
      <c r="G40" s="65">
        <f t="shared" si="5"/>
        <v>0</v>
      </c>
      <c r="H40" s="150"/>
      <c r="I40" s="39"/>
      <c r="J40" s="39"/>
      <c r="K40" s="41"/>
      <c r="L40" s="64">
        <f t="shared" si="6"/>
        <v>0</v>
      </c>
      <c r="M40" s="65">
        <f t="shared" si="7"/>
        <v>0</v>
      </c>
      <c r="N40" s="150"/>
      <c r="O40" s="39"/>
      <c r="P40" s="39"/>
      <c r="Q40" s="41"/>
      <c r="R40" s="64">
        <f t="shared" si="12"/>
        <v>0</v>
      </c>
      <c r="S40" s="65">
        <f t="shared" si="8"/>
        <v>0</v>
      </c>
      <c r="T40" s="150"/>
      <c r="U40" s="39"/>
      <c r="V40" s="39"/>
      <c r="W40" s="41"/>
      <c r="X40" s="64">
        <f t="shared" si="9"/>
        <v>0</v>
      </c>
      <c r="Y40" s="65">
        <f t="shared" si="10"/>
        <v>0</v>
      </c>
      <c r="Z40" s="150"/>
      <c r="AA40" s="39"/>
      <c r="AB40" s="39"/>
      <c r="AC40" s="41"/>
      <c r="AD40" s="64">
        <f t="shared" si="13"/>
        <v>0</v>
      </c>
      <c r="AE40" s="65">
        <f t="shared" si="11"/>
        <v>0</v>
      </c>
      <c r="AF40" s="76">
        <f t="shared" si="14"/>
        <v>0</v>
      </c>
    </row>
    <row r="41" spans="1:32">
      <c r="A41" s="34">
        <v>45895</v>
      </c>
      <c r="B41" s="40"/>
      <c r="C41" s="39"/>
      <c r="D41" s="39"/>
      <c r="E41" s="41"/>
      <c r="F41" s="64">
        <f t="shared" si="4"/>
        <v>0</v>
      </c>
      <c r="G41" s="65">
        <f t="shared" si="5"/>
        <v>0</v>
      </c>
      <c r="H41" s="150"/>
      <c r="I41" s="39"/>
      <c r="J41" s="39"/>
      <c r="K41" s="41"/>
      <c r="L41" s="64">
        <f t="shared" si="6"/>
        <v>0</v>
      </c>
      <c r="M41" s="65">
        <f t="shared" si="7"/>
        <v>0</v>
      </c>
      <c r="N41" s="150"/>
      <c r="O41" s="39"/>
      <c r="P41" s="39"/>
      <c r="Q41" s="41"/>
      <c r="R41" s="64">
        <f t="shared" si="12"/>
        <v>0</v>
      </c>
      <c r="S41" s="65">
        <f t="shared" si="8"/>
        <v>0</v>
      </c>
      <c r="T41" s="150"/>
      <c r="U41" s="39"/>
      <c r="V41" s="39"/>
      <c r="W41" s="41"/>
      <c r="X41" s="64">
        <f t="shared" si="9"/>
        <v>0</v>
      </c>
      <c r="Y41" s="65">
        <f t="shared" si="10"/>
        <v>0</v>
      </c>
      <c r="Z41" s="150"/>
      <c r="AA41" s="39"/>
      <c r="AB41" s="39"/>
      <c r="AC41" s="41"/>
      <c r="AD41" s="64">
        <f t="shared" si="13"/>
        <v>0</v>
      </c>
      <c r="AE41" s="65">
        <f t="shared" si="11"/>
        <v>0</v>
      </c>
      <c r="AF41" s="76">
        <f t="shared" si="14"/>
        <v>0</v>
      </c>
    </row>
    <row r="42" spans="1:32">
      <c r="A42" s="34">
        <v>45896</v>
      </c>
      <c r="B42" s="40"/>
      <c r="C42" s="39"/>
      <c r="D42" s="39"/>
      <c r="E42" s="41"/>
      <c r="F42" s="64">
        <f t="shared" si="4"/>
        <v>0</v>
      </c>
      <c r="G42" s="65">
        <f t="shared" si="5"/>
        <v>0</v>
      </c>
      <c r="H42" s="150"/>
      <c r="I42" s="39"/>
      <c r="J42" s="39"/>
      <c r="K42" s="41"/>
      <c r="L42" s="64">
        <f t="shared" si="6"/>
        <v>0</v>
      </c>
      <c r="M42" s="65">
        <f t="shared" si="7"/>
        <v>0</v>
      </c>
      <c r="N42" s="150"/>
      <c r="O42" s="39"/>
      <c r="P42" s="39"/>
      <c r="Q42" s="41"/>
      <c r="R42" s="64">
        <f t="shared" si="12"/>
        <v>0</v>
      </c>
      <c r="S42" s="65">
        <f t="shared" si="8"/>
        <v>0</v>
      </c>
      <c r="T42" s="150"/>
      <c r="U42" s="39"/>
      <c r="V42" s="39"/>
      <c r="W42" s="41"/>
      <c r="X42" s="64">
        <f t="shared" si="9"/>
        <v>0</v>
      </c>
      <c r="Y42" s="65">
        <f t="shared" si="10"/>
        <v>0</v>
      </c>
      <c r="Z42" s="150"/>
      <c r="AA42" s="39"/>
      <c r="AB42" s="39"/>
      <c r="AC42" s="41"/>
      <c r="AD42" s="64">
        <f t="shared" si="13"/>
        <v>0</v>
      </c>
      <c r="AE42" s="65">
        <f t="shared" si="11"/>
        <v>0</v>
      </c>
      <c r="AF42" s="76">
        <f t="shared" si="14"/>
        <v>0</v>
      </c>
    </row>
    <row r="43" spans="1:32">
      <c r="A43" s="34">
        <v>45897</v>
      </c>
      <c r="B43" s="40"/>
      <c r="C43" s="39"/>
      <c r="D43" s="39"/>
      <c r="E43" s="41"/>
      <c r="F43" s="64">
        <f t="shared" si="4"/>
        <v>0</v>
      </c>
      <c r="G43" s="65">
        <f t="shared" si="5"/>
        <v>0</v>
      </c>
      <c r="H43" s="150"/>
      <c r="I43" s="39"/>
      <c r="J43" s="39"/>
      <c r="K43" s="41"/>
      <c r="L43" s="64">
        <f t="shared" si="6"/>
        <v>0</v>
      </c>
      <c r="M43" s="65">
        <f t="shared" si="7"/>
        <v>0</v>
      </c>
      <c r="N43" s="150"/>
      <c r="O43" s="39"/>
      <c r="P43" s="39"/>
      <c r="Q43" s="41"/>
      <c r="R43" s="64">
        <f t="shared" si="12"/>
        <v>0</v>
      </c>
      <c r="S43" s="65">
        <f t="shared" si="8"/>
        <v>0</v>
      </c>
      <c r="T43" s="150"/>
      <c r="U43" s="39"/>
      <c r="V43" s="39"/>
      <c r="W43" s="41"/>
      <c r="X43" s="64">
        <f t="shared" si="9"/>
        <v>0</v>
      </c>
      <c r="Y43" s="65">
        <f t="shared" si="10"/>
        <v>0</v>
      </c>
      <c r="Z43" s="150"/>
      <c r="AA43" s="39"/>
      <c r="AB43" s="39"/>
      <c r="AC43" s="41"/>
      <c r="AD43" s="64">
        <f t="shared" si="13"/>
        <v>0</v>
      </c>
      <c r="AE43" s="65">
        <f t="shared" si="11"/>
        <v>0</v>
      </c>
      <c r="AF43" s="76">
        <f t="shared" si="14"/>
        <v>0</v>
      </c>
    </row>
    <row r="44" spans="1:32">
      <c r="A44" s="34">
        <v>45898</v>
      </c>
      <c r="B44" s="40"/>
      <c r="C44" s="39"/>
      <c r="D44" s="39"/>
      <c r="E44" s="41"/>
      <c r="F44" s="64">
        <f t="shared" si="4"/>
        <v>0</v>
      </c>
      <c r="G44" s="65">
        <f t="shared" si="5"/>
        <v>0</v>
      </c>
      <c r="H44" s="150"/>
      <c r="I44" s="39"/>
      <c r="J44" s="39"/>
      <c r="K44" s="41"/>
      <c r="L44" s="64">
        <f t="shared" si="6"/>
        <v>0</v>
      </c>
      <c r="M44" s="65">
        <f t="shared" si="7"/>
        <v>0</v>
      </c>
      <c r="N44" s="150"/>
      <c r="O44" s="39"/>
      <c r="P44" s="39"/>
      <c r="Q44" s="41"/>
      <c r="R44" s="64">
        <f t="shared" si="12"/>
        <v>0</v>
      </c>
      <c r="S44" s="65">
        <f t="shared" si="8"/>
        <v>0</v>
      </c>
      <c r="T44" s="150"/>
      <c r="U44" s="39"/>
      <c r="V44" s="39"/>
      <c r="W44" s="41"/>
      <c r="X44" s="64">
        <f t="shared" si="9"/>
        <v>0</v>
      </c>
      <c r="Y44" s="65">
        <f t="shared" si="10"/>
        <v>0</v>
      </c>
      <c r="Z44" s="150"/>
      <c r="AA44" s="39"/>
      <c r="AB44" s="39"/>
      <c r="AC44" s="41"/>
      <c r="AD44" s="64">
        <f t="shared" si="13"/>
        <v>0</v>
      </c>
      <c r="AE44" s="65">
        <f t="shared" si="11"/>
        <v>0</v>
      </c>
      <c r="AF44" s="76">
        <f t="shared" si="14"/>
        <v>0</v>
      </c>
    </row>
    <row r="45" spans="1:32">
      <c r="A45" s="34">
        <v>45899</v>
      </c>
      <c r="B45" s="42"/>
      <c r="C45" s="43"/>
      <c r="D45" s="43"/>
      <c r="E45" s="44"/>
      <c r="F45" s="64">
        <f t="shared" si="4"/>
        <v>0</v>
      </c>
      <c r="G45" s="144">
        <f t="shared" si="5"/>
        <v>0</v>
      </c>
      <c r="H45" s="151"/>
      <c r="I45" s="43"/>
      <c r="J45" s="43"/>
      <c r="K45" s="44"/>
      <c r="L45" s="143">
        <f t="shared" si="6"/>
        <v>0</v>
      </c>
      <c r="M45" s="144">
        <f t="shared" si="7"/>
        <v>0</v>
      </c>
      <c r="N45" s="151"/>
      <c r="O45" s="43"/>
      <c r="P45" s="43"/>
      <c r="Q45" s="44"/>
      <c r="R45" s="143">
        <f t="shared" si="12"/>
        <v>0</v>
      </c>
      <c r="S45" s="144">
        <f t="shared" si="8"/>
        <v>0</v>
      </c>
      <c r="T45" s="151"/>
      <c r="U45" s="43"/>
      <c r="V45" s="43"/>
      <c r="W45" s="44"/>
      <c r="X45" s="143">
        <f t="shared" si="9"/>
        <v>0</v>
      </c>
      <c r="Y45" s="144">
        <f t="shared" si="10"/>
        <v>0</v>
      </c>
      <c r="Z45" s="151"/>
      <c r="AA45" s="43"/>
      <c r="AB45" s="43"/>
      <c r="AC45" s="44"/>
      <c r="AD45" s="64">
        <f t="shared" si="13"/>
        <v>0</v>
      </c>
      <c r="AE45" s="159">
        <f t="shared" si="11"/>
        <v>0</v>
      </c>
      <c r="AF45" s="100">
        <f t="shared" si="14"/>
        <v>0</v>
      </c>
    </row>
    <row r="46" spans="1:32">
      <c r="A46" s="34">
        <v>45900</v>
      </c>
      <c r="B46" s="141"/>
      <c r="C46" s="142"/>
      <c r="D46" s="142"/>
      <c r="E46" s="142"/>
      <c r="F46" s="67">
        <f t="shared" si="4"/>
        <v>0</v>
      </c>
      <c r="G46" s="157"/>
      <c r="H46" s="152"/>
      <c r="I46" s="142"/>
      <c r="J46" s="142"/>
      <c r="K46" s="145"/>
      <c r="L46" s="153">
        <f t="shared" si="6"/>
        <v>0</v>
      </c>
      <c r="M46" s="158"/>
      <c r="N46" s="152"/>
      <c r="O46" s="142"/>
      <c r="P46" s="142"/>
      <c r="Q46" s="145"/>
      <c r="R46" s="153">
        <f t="shared" si="12"/>
        <v>0</v>
      </c>
      <c r="S46" s="157">
        <f t="shared" si="8"/>
        <v>0</v>
      </c>
      <c r="T46" s="152"/>
      <c r="U46" s="142"/>
      <c r="V46" s="142"/>
      <c r="W46" s="145"/>
      <c r="X46" s="153">
        <f t="shared" si="9"/>
        <v>0</v>
      </c>
      <c r="Y46" s="154">
        <f t="shared" si="10"/>
        <v>0</v>
      </c>
      <c r="Z46" s="152"/>
      <c r="AA46" s="142"/>
      <c r="AB46" s="142"/>
      <c r="AC46" s="142"/>
      <c r="AD46" s="67">
        <f t="shared" si="13"/>
        <v>0</v>
      </c>
      <c r="AE46" s="160">
        <f t="shared" si="11"/>
        <v>0</v>
      </c>
      <c r="AF46" s="148"/>
    </row>
    <row r="47" spans="1:32" ht="18.600000000000001">
      <c r="G47" s="111">
        <f>SUM(G16:G45)</f>
        <v>1293.5050698821594</v>
      </c>
      <c r="M47" s="111">
        <f>SUM(M16:M45)</f>
        <v>513.01726500411075</v>
      </c>
      <c r="S47" s="111">
        <f>SUM(S16:S45)</f>
        <v>806.79638257056729</v>
      </c>
      <c r="Y47" s="111">
        <f>SUM(Y16:Y45)</f>
        <v>1258.4269662921347</v>
      </c>
      <c r="AE47" s="111">
        <f>SUM(AE16:AE45)</f>
        <v>982.18690052069053</v>
      </c>
      <c r="AF47" s="102">
        <f>SUM(AF16:AF45)</f>
        <v>4853.9325842696626</v>
      </c>
    </row>
    <row r="48" spans="1:32">
      <c r="G48" s="111">
        <f>G4</f>
        <v>2850.0959166895041</v>
      </c>
      <c r="M48" s="111">
        <f>G5</f>
        <v>2394.0805700191831</v>
      </c>
      <c r="S48" s="111">
        <f>G6</f>
        <v>2394.0805700191831</v>
      </c>
      <c r="Y48" s="111">
        <f>G7</f>
        <v>2394.0805700191831</v>
      </c>
      <c r="AE48" s="111">
        <f>G8</f>
        <v>1938.0652233488627</v>
      </c>
      <c r="AF48" s="147">
        <f>G12</f>
        <v>11970.402850095918</v>
      </c>
    </row>
    <row r="49" spans="1:32" s="162" customFormat="1" ht="14.45">
      <c r="A49" s="161"/>
      <c r="G49" s="71">
        <f>G47/G48</f>
        <v>0.45384615384615379</v>
      </c>
      <c r="M49" s="71">
        <f>M47/M48</f>
        <v>0.21428571428571433</v>
      </c>
      <c r="S49" s="71">
        <f>S47/S48</f>
        <v>0.33699633699633702</v>
      </c>
      <c r="Y49" s="71">
        <f>Y47/Y48</f>
        <v>0.52564102564102566</v>
      </c>
      <c r="AE49" s="71">
        <f>AE47/AE48</f>
        <v>0.50678733031674206</v>
      </c>
      <c r="AF49" s="71">
        <f>AF47/AF48</f>
        <v>0.40549450549450544</v>
      </c>
    </row>
    <row r="52" spans="1:32">
      <c r="E52" s="139"/>
    </row>
    <row r="54" spans="1:32" ht="43.5">
      <c r="C54" s="133" t="s">
        <v>7</v>
      </c>
      <c r="D54" s="135" t="s">
        <v>110</v>
      </c>
      <c r="E54" s="135" t="s">
        <v>111</v>
      </c>
      <c r="F54" s="136" t="s">
        <v>112</v>
      </c>
      <c r="G54" s="136" t="s">
        <v>113</v>
      </c>
      <c r="H54" s="134" t="s">
        <v>114</v>
      </c>
      <c r="I54" s="135" t="s">
        <v>115</v>
      </c>
    </row>
    <row r="55" spans="1:32">
      <c r="C55" s="138" t="s">
        <v>12</v>
      </c>
      <c r="D55" s="137">
        <v>644.47340000000008</v>
      </c>
      <c r="E55" s="137">
        <v>850.64401205809816</v>
      </c>
      <c r="F55" s="130">
        <v>0.75762997313144331</v>
      </c>
      <c r="G55" s="130">
        <v>0.62170837373305843</v>
      </c>
      <c r="H55" s="137">
        <v>9252.1928000000007</v>
      </c>
      <c r="I55" s="137">
        <v>14881.885448067964</v>
      </c>
    </row>
    <row r="56" spans="1:32">
      <c r="C56" s="138" t="s">
        <v>13</v>
      </c>
      <c r="D56" s="137">
        <v>1266.5906000000002</v>
      </c>
      <c r="E56" s="137">
        <v>1311.0441216771719</v>
      </c>
      <c r="F56" s="130">
        <v>0.96609303917224087</v>
      </c>
      <c r="G56" s="130">
        <v>0.75657450979706986</v>
      </c>
      <c r="H56" s="137">
        <v>10104.800029999999</v>
      </c>
      <c r="I56" s="137">
        <v>13355.987941901891</v>
      </c>
    </row>
    <row r="57" spans="1:32">
      <c r="C57" s="138" t="s">
        <v>14</v>
      </c>
      <c r="D57" s="137">
        <v>1014.3561</v>
      </c>
      <c r="E57" s="137">
        <v>1245.2726774458756</v>
      </c>
      <c r="F57" s="130">
        <v>0.81456545090228871</v>
      </c>
      <c r="G57" s="130">
        <v>0.46932393260311955</v>
      </c>
      <c r="H57" s="137">
        <v>5936.9670399999995</v>
      </c>
      <c r="I57" s="137">
        <v>12650.041107152645</v>
      </c>
    </row>
    <row r="58" spans="1:32">
      <c r="C58" s="138" t="s">
        <v>15</v>
      </c>
      <c r="D58" s="137">
        <v>158.0069</v>
      </c>
      <c r="E58" s="137">
        <v>929.56974513565353</v>
      </c>
      <c r="F58" s="130">
        <v>0.16997853127948115</v>
      </c>
      <c r="G58" s="130">
        <v>0.48009369990517681</v>
      </c>
      <c r="H58" s="137">
        <v>6007.9470299999984</v>
      </c>
      <c r="I58" s="137">
        <v>12514.113455741299</v>
      </c>
    </row>
    <row r="59" spans="1:32">
      <c r="C59" s="138" t="s">
        <v>16</v>
      </c>
      <c r="D59" s="137">
        <v>1346.5678799999991</v>
      </c>
      <c r="E59" s="137">
        <v>1284.7355439846533</v>
      </c>
      <c r="F59" s="130">
        <v>1.0481284543771325</v>
      </c>
      <c r="G59" s="130">
        <v>0.78165327882844349</v>
      </c>
      <c r="H59" s="137">
        <v>8410.7520800000002</v>
      </c>
      <c r="I59" s="137">
        <v>10760.208276240064</v>
      </c>
    </row>
    <row r="60" spans="1:32">
      <c r="C60" s="138" t="s">
        <v>17</v>
      </c>
      <c r="D60" s="137">
        <v>4429.9948799999993</v>
      </c>
      <c r="E60" s="137">
        <v>5621.2661003014528</v>
      </c>
      <c r="F60" s="130">
        <v>0.7880777748205926</v>
      </c>
      <c r="G60" s="130">
        <v>0.61894131679260911</v>
      </c>
      <c r="H60" s="137">
        <v>39712.65898</v>
      </c>
      <c r="I60" s="137">
        <v>64162.236229103873</v>
      </c>
    </row>
    <row r="77" spans="6:15">
      <c r="K77" s="73" t="s">
        <v>8</v>
      </c>
      <c r="L77" s="74" t="s">
        <v>9</v>
      </c>
      <c r="M77" s="74" t="s">
        <v>10</v>
      </c>
      <c r="N77" s="75" t="s">
        <v>11</v>
      </c>
      <c r="O77" s="75" t="s">
        <v>116</v>
      </c>
    </row>
    <row r="78" spans="6:15">
      <c r="K78" s="137">
        <v>17.53905179501233</v>
      </c>
      <c r="L78" s="137">
        <v>26.308577692518497</v>
      </c>
      <c r="M78" s="137">
        <v>17.53905179501233</v>
      </c>
      <c r="N78" s="137">
        <v>13.154288846259249</v>
      </c>
      <c r="O78" s="57">
        <f>SUM(K78:N78)</f>
        <v>74.5409701288024</v>
      </c>
    </row>
    <row r="79" spans="6:15">
      <c r="O79" s="57"/>
    </row>
    <row r="80" spans="6:15">
      <c r="F80" s="57"/>
    </row>
    <row r="82" spans="5:7">
      <c r="E82" s="139"/>
      <c r="F82" s="139"/>
      <c r="G82" s="57"/>
    </row>
    <row r="83" spans="5:7">
      <c r="G83" s="57"/>
    </row>
    <row r="84" spans="5:7">
      <c r="E84" s="139"/>
      <c r="F84" s="140"/>
      <c r="G84" s="57"/>
    </row>
    <row r="85" spans="5:7">
      <c r="E85" s="139"/>
    </row>
    <row r="86" spans="5:7">
      <c r="E86" s="139"/>
    </row>
    <row r="87" spans="5:7">
      <c r="E87" s="139"/>
    </row>
    <row r="88" spans="5:7">
      <c r="E88" s="139"/>
    </row>
    <row r="89" spans="5:7">
      <c r="E89" s="139"/>
    </row>
    <row r="90" spans="5:7">
      <c r="E90" s="139"/>
    </row>
    <row r="91" spans="5:7">
      <c r="E91" s="139"/>
    </row>
    <row r="92" spans="5:7">
      <c r="E92" s="139"/>
    </row>
    <row r="93" spans="5:7">
      <c r="E93" s="139"/>
    </row>
  </sheetData>
  <mergeCells count="26">
    <mergeCell ref="B2:E2"/>
    <mergeCell ref="F2:F3"/>
    <mergeCell ref="G2:G3"/>
    <mergeCell ref="H2:H3"/>
    <mergeCell ref="I2:I3"/>
    <mergeCell ref="N13:S13"/>
    <mergeCell ref="T13:Y13"/>
    <mergeCell ref="Z13:AE13"/>
    <mergeCell ref="AF13:AF15"/>
    <mergeCell ref="B14:E14"/>
    <mergeCell ref="F14:F15"/>
    <mergeCell ref="G14:G15"/>
    <mergeCell ref="H14:K14"/>
    <mergeCell ref="L14:L15"/>
    <mergeCell ref="M14:M15"/>
    <mergeCell ref="B13:G13"/>
    <mergeCell ref="H13:M13"/>
    <mergeCell ref="Z14:AC14"/>
    <mergeCell ref="AD14:AD15"/>
    <mergeCell ref="AE14:AE15"/>
    <mergeCell ref="N14:Q14"/>
    <mergeCell ref="R14:R15"/>
    <mergeCell ref="S14:S15"/>
    <mergeCell ref="T14:W14"/>
    <mergeCell ref="X14:X15"/>
    <mergeCell ref="Y14:Y15"/>
  </mergeCells>
  <pageMargins left="0.7" right="0.7" top="0.75" bottom="0.75" header="0.3" footer="0.3"/>
  <pageSetup orientation="portrait"/>
  <customProperties>
    <customPr name="EpmWorksheetKeyString_GUID" r:id="rId1"/>
  </customProperti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 Manila Electric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Jenneth M. Madrid</dc:creator>
  <cp:keywords/>
  <dc:description/>
  <cp:lastModifiedBy>Mike Aldo E. Cardeño (Miescor Logistics, Inc.)</cp:lastModifiedBy>
  <cp:revision/>
  <dcterms:created xsi:type="dcterms:W3CDTF">2025-05-22T22:19:02Z</dcterms:created>
  <dcterms:modified xsi:type="dcterms:W3CDTF">2025-08-20T06:21:47Z</dcterms:modified>
  <cp:category/>
  <cp:contentStatus/>
</cp:coreProperties>
</file>